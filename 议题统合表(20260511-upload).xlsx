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294" windowHeight="9805"/>
  </bookViews>
  <sheets>
    <sheet name="勘误表" sheetId="47" r:id="rId1"/>
    <sheet name="summary(true)" sheetId="3" r:id="rId2"/>
    <sheet name="Count" sheetId="46" r:id="rId3"/>
    <sheet name="summary(full)" sheetId="38" state="hidden" r:id="rId4"/>
    <sheet name="summary(full) (w- topic area)" sheetId="42" r:id="rId5"/>
    <sheet name="CN-GOV" sheetId="1" r:id="rId6"/>
    <sheet name="CN-tech" sheetId="4" r:id="rId7"/>
    <sheet name="CN-worker" sheetId="9" r:id="rId8"/>
    <sheet name="CN-user" sheetId="13" r:id="rId9"/>
    <sheet name="US-gov" sheetId="16" r:id="rId10"/>
    <sheet name="US-tech" sheetId="18" r:id="rId11"/>
    <sheet name="US-worker" sheetId="19" r:id="rId12"/>
    <sheet name="US-user" sheetId="21" r:id="rId13"/>
    <sheet name="EU-Gov" sheetId="22" r:id="rId14"/>
    <sheet name="EU-tech" sheetId="24" r:id="rId15"/>
    <sheet name="EU-worker" sheetId="26" r:id="rId16"/>
    <sheet name="EU-user" sheetId="29" r:id="rId17"/>
    <sheet name="Kenya-Gov" sheetId="30" r:id="rId18"/>
    <sheet name="Kenya-tech" sheetId="32" r:id="rId19"/>
    <sheet name="Kenya-worker" sheetId="36" r:id="rId20"/>
    <sheet name="Kenya-user" sheetId="39" r:id="rId21"/>
    <sheet name="existing-label" sheetId="27" r:id="rId22"/>
  </sheets>
  <definedNames>
    <definedName name="_xlnm._FilterDatabase" localSheetId="1" hidden="1">'summary(true)'!$A$1:$M$161</definedName>
    <definedName name="_xlnm._FilterDatabase" localSheetId="2" hidden="1">Count!$A$1:$C$41</definedName>
    <definedName name="_xlnm._FilterDatabase" localSheetId="3" hidden="1">'summary(full)'!$A$1:$G$372</definedName>
    <definedName name="_xlnm._FilterDatabase" localSheetId="4" hidden="1">'summary(full) (w- topic area)'!$A$1:$M$371</definedName>
    <definedName name="_xlnm._FilterDatabase" localSheetId="5" hidden="1">'CN-GOV'!$A$1:$L$124</definedName>
    <definedName name="_xlnm._FilterDatabase" localSheetId="6" hidden="1">'CN-tech'!$A$1:$L$112</definedName>
    <definedName name="_xlnm._FilterDatabase" localSheetId="7" hidden="1">'CN-worker'!$A$1:$L$99</definedName>
    <definedName name="_xlnm._FilterDatabase" localSheetId="9" hidden="1">'US-gov'!$A$1:$L$112</definedName>
    <definedName name="_xlnm._FilterDatabase" localSheetId="10" hidden="1">'US-tech'!$A$1:$L$306</definedName>
    <definedName name="_xlnm._FilterDatabase" localSheetId="11" hidden="1">'US-worker'!$A$1:$L$90</definedName>
    <definedName name="_xlnm._FilterDatabase" localSheetId="12" hidden="1">'US-user'!$A$1:$L$87</definedName>
    <definedName name="_xlnm._FilterDatabase" localSheetId="14" hidden="1">'EU-tech'!$A$1:$M$106</definedName>
    <definedName name="_xlnm._FilterDatabase" localSheetId="17" hidden="1">'Kenya-Gov'!$A$1:$M$81</definedName>
    <definedName name="_xlnm._FilterDatabase" localSheetId="20" hidden="1">'Kenya-user'!$A$1:$M$72</definedName>
    <definedName name="_xlnm._FilterDatabase" localSheetId="21" hidden="1">'existing-label'!$A$1:$B$266</definedName>
    <definedName name="_xlnm._FilterDatabase" localSheetId="15" hidden="1">'EU-worker'!$A$1:$M$83</definedName>
    <definedName name="_xlnm._FilterDatabase" localSheetId="8" hidden="1">'CN-user'!$A$1:$L$90</definedName>
    <definedName name="_xlnm._FilterDatabase" localSheetId="13" hidden="1">'EU-Gov'!$A$1:$M$91</definedName>
    <definedName name="_xlnm._FilterDatabase" localSheetId="16" hidden="1">'EU-user'!$A$1:$M$78</definedName>
    <definedName name="_xlnm._FilterDatabase" localSheetId="18" hidden="1">'Kenya-tech'!$A$1:$M$61</definedName>
    <definedName name="_xlnm._FilterDatabase" localSheetId="19" hidden="1">'Kenya-worker'!$A$1:$M$58</definedName>
    <definedName name="_xlnm._FilterDatabase" localSheetId="0" hidden="1">勘误表!#REF!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小肥猫</author>
  </authors>
  <commentList>
    <comment ref="F1" authorId="0">
      <text>
        <r>
          <rPr>
            <b/>
            <sz val="9"/>
            <rFont val="宋体"/>
            <charset val="134"/>
          </rPr>
          <t>小肥猫:</t>
        </r>
        <r>
          <rPr>
            <sz val="9"/>
            <rFont val="宋体"/>
            <charset val="134"/>
          </rPr>
          <t xml:space="preserve">
原始议题标注</t>
        </r>
      </text>
    </comment>
    <comment ref="G1" authorId="0">
      <text>
        <r>
          <rPr>
            <b/>
            <sz val="9"/>
            <rFont val="宋体"/>
            <charset val="134"/>
          </rPr>
          <t>小肥猫:</t>
        </r>
        <r>
          <rPr>
            <sz val="9"/>
            <rFont val="宋体"/>
            <charset val="134"/>
          </rPr>
          <t xml:space="preserve">
标准化议题标签</t>
        </r>
      </text>
    </comment>
  </commentList>
</comments>
</file>

<file path=xl/comments2.xml><?xml version="1.0" encoding="utf-8"?>
<comments xmlns="http://schemas.openxmlformats.org/spreadsheetml/2006/main">
  <authors>
    <author>小肥猫</author>
  </authors>
  <commentList>
    <comment ref="F1" authorId="0">
      <text>
        <r>
          <rPr>
            <b/>
            <sz val="9"/>
            <rFont val="宋体"/>
            <charset val="134"/>
          </rPr>
          <t>小肥猫:</t>
        </r>
        <r>
          <rPr>
            <sz val="9"/>
            <rFont val="宋体"/>
            <charset val="134"/>
          </rPr>
          <t xml:space="preserve">
原始议题标注</t>
        </r>
      </text>
    </comment>
    <comment ref="G1" authorId="0">
      <text>
        <r>
          <rPr>
            <b/>
            <sz val="9"/>
            <rFont val="宋体"/>
            <charset val="134"/>
          </rPr>
          <t>小肥猫:</t>
        </r>
        <r>
          <rPr>
            <sz val="9"/>
            <rFont val="宋体"/>
            <charset val="134"/>
          </rPr>
          <t xml:space="preserve">
标准化议题标签</t>
        </r>
      </text>
    </comment>
  </commentList>
</comments>
</file>

<file path=xl/comments3.xml><?xml version="1.0" encoding="utf-8"?>
<comments xmlns="http://schemas.openxmlformats.org/spreadsheetml/2006/main">
  <authors>
    <author>小肥猫</author>
  </authors>
  <commentList>
    <comment ref="F1" authorId="0">
      <text>
        <r>
          <rPr>
            <b/>
            <sz val="9"/>
            <rFont val="宋体"/>
            <charset val="134"/>
          </rPr>
          <t>小肥猫:</t>
        </r>
        <r>
          <rPr>
            <sz val="9"/>
            <rFont val="宋体"/>
            <charset val="134"/>
          </rPr>
          <t xml:space="preserve">
原始议题标注</t>
        </r>
      </text>
    </comment>
    <comment ref="G1" authorId="0">
      <text>
        <r>
          <rPr>
            <b/>
            <sz val="9"/>
            <rFont val="宋体"/>
            <charset val="134"/>
          </rPr>
          <t>小肥猫:</t>
        </r>
        <r>
          <rPr>
            <sz val="9"/>
            <rFont val="宋体"/>
            <charset val="134"/>
          </rPr>
          <t xml:space="preserve">
标准化议题标签</t>
        </r>
      </text>
    </comment>
  </commentList>
</comments>
</file>

<file path=xl/comments4.xml><?xml version="1.0" encoding="utf-8"?>
<comments xmlns="http://schemas.openxmlformats.org/spreadsheetml/2006/main">
  <authors>
    <author>小肥猫</author>
  </authors>
  <commentList>
    <comment ref="F1" authorId="0">
      <text>
        <r>
          <rPr>
            <b/>
            <sz val="9"/>
            <rFont val="宋体"/>
            <charset val="134"/>
          </rPr>
          <t>小肥猫:</t>
        </r>
        <r>
          <rPr>
            <sz val="9"/>
            <rFont val="宋体"/>
            <charset val="134"/>
          </rPr>
          <t xml:space="preserve">
原始议题标注</t>
        </r>
      </text>
    </comment>
    <comment ref="G1" authorId="0">
      <text>
        <r>
          <rPr>
            <b/>
            <sz val="9"/>
            <rFont val="宋体"/>
            <charset val="134"/>
          </rPr>
          <t>小肥猫:</t>
        </r>
        <r>
          <rPr>
            <sz val="9"/>
            <rFont val="宋体"/>
            <charset val="134"/>
          </rPr>
          <t xml:space="preserve">
标准化议题标签</t>
        </r>
      </text>
    </comment>
  </commentList>
</comments>
</file>

<file path=xl/comments5.xml><?xml version="1.0" encoding="utf-8"?>
<comments xmlns="http://schemas.openxmlformats.org/spreadsheetml/2006/main">
  <authors>
    <author>小肥猫</author>
  </authors>
  <commentList>
    <comment ref="F1" authorId="0">
      <text>
        <r>
          <rPr>
            <b/>
            <sz val="9"/>
            <rFont val="宋体"/>
            <charset val="134"/>
          </rPr>
          <t>小肥猫:</t>
        </r>
        <r>
          <rPr>
            <sz val="9"/>
            <rFont val="宋体"/>
            <charset val="134"/>
          </rPr>
          <t xml:space="preserve">
原始议题标注</t>
        </r>
      </text>
    </comment>
    <comment ref="G1" authorId="0">
      <text>
        <r>
          <rPr>
            <b/>
            <sz val="9"/>
            <rFont val="宋体"/>
            <charset val="134"/>
          </rPr>
          <t>小肥猫:</t>
        </r>
        <r>
          <rPr>
            <sz val="9"/>
            <rFont val="宋体"/>
            <charset val="134"/>
          </rPr>
          <t xml:space="preserve">
标准化议题标签</t>
        </r>
      </text>
    </comment>
  </commentList>
</comments>
</file>

<file path=xl/comments6.xml><?xml version="1.0" encoding="utf-8"?>
<comments xmlns="http://schemas.openxmlformats.org/spreadsheetml/2006/main">
  <authors>
    <author>小肥猫</author>
  </authors>
  <commentList>
    <comment ref="F1" authorId="0">
      <text>
        <r>
          <rPr>
            <b/>
            <sz val="9"/>
            <rFont val="宋体"/>
            <charset val="134"/>
          </rPr>
          <t>小肥猫:</t>
        </r>
        <r>
          <rPr>
            <sz val="9"/>
            <rFont val="宋体"/>
            <charset val="134"/>
          </rPr>
          <t xml:space="preserve">
原始议题标注</t>
        </r>
      </text>
    </comment>
    <comment ref="G1" authorId="0">
      <text>
        <r>
          <rPr>
            <b/>
            <sz val="9"/>
            <rFont val="宋体"/>
            <charset val="134"/>
          </rPr>
          <t>小肥猫:</t>
        </r>
        <r>
          <rPr>
            <sz val="9"/>
            <rFont val="宋体"/>
            <charset val="134"/>
          </rPr>
          <t xml:space="preserve">
标准化议题标签</t>
        </r>
      </text>
    </comment>
  </commentList>
</comments>
</file>

<file path=xl/comments7.xml><?xml version="1.0" encoding="utf-8"?>
<comments xmlns="http://schemas.openxmlformats.org/spreadsheetml/2006/main">
  <authors>
    <author>小肥猫</author>
  </authors>
  <commentList>
    <comment ref="F1" authorId="0">
      <text>
        <r>
          <rPr>
            <b/>
            <sz val="9"/>
            <rFont val="宋体"/>
            <charset val="134"/>
          </rPr>
          <t>小肥猫:</t>
        </r>
        <r>
          <rPr>
            <sz val="9"/>
            <rFont val="宋体"/>
            <charset val="134"/>
          </rPr>
          <t xml:space="preserve">
原始议题标注</t>
        </r>
      </text>
    </comment>
    <comment ref="G1" authorId="0">
      <text>
        <r>
          <rPr>
            <b/>
            <sz val="9"/>
            <rFont val="宋体"/>
            <charset val="134"/>
          </rPr>
          <t>小肥猫:</t>
        </r>
        <r>
          <rPr>
            <sz val="9"/>
            <rFont val="宋体"/>
            <charset val="134"/>
          </rPr>
          <t xml:space="preserve">
标准化议题标签</t>
        </r>
      </text>
    </comment>
  </commentList>
</comments>
</file>

<file path=xl/comments8.xml><?xml version="1.0" encoding="utf-8"?>
<comments xmlns="http://schemas.openxmlformats.org/spreadsheetml/2006/main">
  <authors>
    <author>小肥猫</author>
  </authors>
  <commentList>
    <comment ref="F1" authorId="0">
      <text>
        <r>
          <rPr>
            <b/>
            <sz val="9"/>
            <rFont val="宋体"/>
            <charset val="134"/>
          </rPr>
          <t>小肥猫:</t>
        </r>
        <r>
          <rPr>
            <sz val="9"/>
            <rFont val="宋体"/>
            <charset val="134"/>
          </rPr>
          <t xml:space="preserve">
原始议题标注</t>
        </r>
      </text>
    </comment>
    <comment ref="G1" authorId="0">
      <text>
        <r>
          <rPr>
            <b/>
            <sz val="9"/>
            <rFont val="宋体"/>
            <charset val="134"/>
          </rPr>
          <t>小肥猫:</t>
        </r>
        <r>
          <rPr>
            <sz val="9"/>
            <rFont val="宋体"/>
            <charset val="134"/>
          </rPr>
          <t xml:space="preserve">
标准化议题标签</t>
        </r>
      </text>
    </comment>
  </commentList>
</comments>
</file>

<file path=xl/comments9.xml><?xml version="1.0" encoding="utf-8"?>
<comments xmlns="http://schemas.openxmlformats.org/spreadsheetml/2006/main">
  <authors>
    <author>小肥猫</author>
  </authors>
  <commentList>
    <comment ref="G1" authorId="0">
      <text>
        <r>
          <rPr>
            <b/>
            <sz val="9"/>
            <rFont val="宋体"/>
            <charset val="134"/>
          </rPr>
          <t>小肥猫:</t>
        </r>
        <r>
          <rPr>
            <sz val="9"/>
            <rFont val="宋体"/>
            <charset val="134"/>
          </rPr>
          <t xml:space="preserve">
原始议题标注</t>
        </r>
      </text>
    </comment>
    <comment ref="H1" authorId="0">
      <text>
        <r>
          <rPr>
            <b/>
            <sz val="9"/>
            <rFont val="宋体"/>
            <charset val="134"/>
          </rPr>
          <t>小肥猫:</t>
        </r>
        <r>
          <rPr>
            <sz val="9"/>
            <rFont val="宋体"/>
            <charset val="134"/>
          </rPr>
          <t xml:space="preserve">
标准化议题标签</t>
        </r>
      </text>
    </comment>
  </commentList>
</comments>
</file>

<file path=xl/comments10.xml><?xml version="1.0" encoding="utf-8"?>
<comments xmlns="http://schemas.openxmlformats.org/spreadsheetml/2006/main">
  <authors>
    <author>小肥猫</author>
  </authors>
  <commentList>
    <comment ref="G1" authorId="0">
      <text>
        <r>
          <rPr>
            <b/>
            <sz val="9"/>
            <rFont val="宋体"/>
            <charset val="134"/>
          </rPr>
          <t>小肥猫:</t>
        </r>
        <r>
          <rPr>
            <sz val="9"/>
            <rFont val="宋体"/>
            <charset val="134"/>
          </rPr>
          <t xml:space="preserve">
原始议题标注</t>
        </r>
      </text>
    </comment>
    <comment ref="H1" authorId="0">
      <text>
        <r>
          <rPr>
            <b/>
            <sz val="9"/>
            <rFont val="宋体"/>
            <charset val="134"/>
          </rPr>
          <t>小肥猫:</t>
        </r>
        <r>
          <rPr>
            <sz val="9"/>
            <rFont val="宋体"/>
            <charset val="134"/>
          </rPr>
          <t xml:space="preserve">
标准化议题标签</t>
        </r>
      </text>
    </comment>
  </commentList>
</comments>
</file>

<file path=xl/comments11.xml><?xml version="1.0" encoding="utf-8"?>
<comments xmlns="http://schemas.openxmlformats.org/spreadsheetml/2006/main">
  <authors>
    <author>小肥猫</author>
  </authors>
  <commentList>
    <comment ref="G1" authorId="0">
      <text>
        <r>
          <rPr>
            <b/>
            <sz val="9"/>
            <rFont val="宋体"/>
            <charset val="134"/>
          </rPr>
          <t>小肥猫:</t>
        </r>
        <r>
          <rPr>
            <sz val="9"/>
            <rFont val="宋体"/>
            <charset val="134"/>
          </rPr>
          <t xml:space="preserve">
原始议题标注</t>
        </r>
      </text>
    </comment>
    <comment ref="H1" authorId="0">
      <text>
        <r>
          <rPr>
            <b/>
            <sz val="9"/>
            <rFont val="宋体"/>
            <charset val="134"/>
          </rPr>
          <t>小肥猫:</t>
        </r>
        <r>
          <rPr>
            <sz val="9"/>
            <rFont val="宋体"/>
            <charset val="134"/>
          </rPr>
          <t xml:space="preserve">
标准化议题标签</t>
        </r>
      </text>
    </comment>
  </commentList>
</comments>
</file>

<file path=xl/comments12.xml><?xml version="1.0" encoding="utf-8"?>
<comments xmlns="http://schemas.openxmlformats.org/spreadsheetml/2006/main">
  <authors>
    <author>小肥猫</author>
  </authors>
  <commentList>
    <comment ref="G1" authorId="0">
      <text>
        <r>
          <rPr>
            <b/>
            <sz val="9"/>
            <rFont val="宋体"/>
            <charset val="134"/>
          </rPr>
          <t>小肥猫:</t>
        </r>
        <r>
          <rPr>
            <sz val="9"/>
            <rFont val="宋体"/>
            <charset val="134"/>
          </rPr>
          <t xml:space="preserve">
原始议题标注</t>
        </r>
      </text>
    </comment>
    <comment ref="H1" authorId="0">
      <text>
        <r>
          <rPr>
            <b/>
            <sz val="9"/>
            <rFont val="宋体"/>
            <charset val="134"/>
          </rPr>
          <t>小肥猫:</t>
        </r>
        <r>
          <rPr>
            <sz val="9"/>
            <rFont val="宋体"/>
            <charset val="134"/>
          </rPr>
          <t xml:space="preserve">
标准化议题标签</t>
        </r>
      </text>
    </comment>
  </commentList>
</comments>
</file>

<file path=xl/comments13.xml><?xml version="1.0" encoding="utf-8"?>
<comments xmlns="http://schemas.openxmlformats.org/spreadsheetml/2006/main">
  <authors>
    <author>小肥猫</author>
  </authors>
  <commentList>
    <comment ref="G1" authorId="0">
      <text>
        <r>
          <rPr>
            <b/>
            <sz val="9"/>
            <rFont val="宋体"/>
            <charset val="134"/>
          </rPr>
          <t>小肥猫:</t>
        </r>
        <r>
          <rPr>
            <sz val="9"/>
            <rFont val="宋体"/>
            <charset val="134"/>
          </rPr>
          <t xml:space="preserve">
原始议题标注</t>
        </r>
      </text>
    </comment>
    <comment ref="H1" authorId="0">
      <text>
        <r>
          <rPr>
            <b/>
            <sz val="9"/>
            <rFont val="宋体"/>
            <charset val="134"/>
          </rPr>
          <t>小肥猫:</t>
        </r>
        <r>
          <rPr>
            <sz val="9"/>
            <rFont val="宋体"/>
            <charset val="134"/>
          </rPr>
          <t xml:space="preserve">
标准化议题标签</t>
        </r>
      </text>
    </comment>
  </commentList>
</comments>
</file>

<file path=xl/comments14.xml><?xml version="1.0" encoding="utf-8"?>
<comments xmlns="http://schemas.openxmlformats.org/spreadsheetml/2006/main">
  <authors>
    <author>小肥猫</author>
  </authors>
  <commentList>
    <comment ref="G1" authorId="0">
      <text>
        <r>
          <rPr>
            <b/>
            <sz val="9"/>
            <rFont val="宋体"/>
            <charset val="134"/>
          </rPr>
          <t>小肥猫:</t>
        </r>
        <r>
          <rPr>
            <sz val="9"/>
            <rFont val="宋体"/>
            <charset val="134"/>
          </rPr>
          <t xml:space="preserve">
原始议题标注</t>
        </r>
      </text>
    </comment>
    <comment ref="H1" authorId="0">
      <text>
        <r>
          <rPr>
            <b/>
            <sz val="9"/>
            <rFont val="宋体"/>
            <charset val="134"/>
          </rPr>
          <t>小肥猫:</t>
        </r>
        <r>
          <rPr>
            <sz val="9"/>
            <rFont val="宋体"/>
            <charset val="134"/>
          </rPr>
          <t xml:space="preserve">
标准化议题标签</t>
        </r>
      </text>
    </comment>
  </commentList>
</comments>
</file>

<file path=xl/comments15.xml><?xml version="1.0" encoding="utf-8"?>
<comments xmlns="http://schemas.openxmlformats.org/spreadsheetml/2006/main">
  <authors>
    <author>小肥猫</author>
  </authors>
  <commentList>
    <comment ref="G1" authorId="0">
      <text>
        <r>
          <rPr>
            <b/>
            <sz val="9"/>
            <rFont val="宋体"/>
            <charset val="134"/>
          </rPr>
          <t>小肥猫:</t>
        </r>
        <r>
          <rPr>
            <sz val="9"/>
            <rFont val="宋体"/>
            <charset val="134"/>
          </rPr>
          <t xml:space="preserve">
原始议题标注</t>
        </r>
      </text>
    </comment>
    <comment ref="H1" authorId="0">
      <text>
        <r>
          <rPr>
            <b/>
            <sz val="9"/>
            <rFont val="宋体"/>
            <charset val="134"/>
          </rPr>
          <t>小肥猫:</t>
        </r>
        <r>
          <rPr>
            <sz val="9"/>
            <rFont val="宋体"/>
            <charset val="134"/>
          </rPr>
          <t xml:space="preserve">
标准化议题标签</t>
        </r>
      </text>
    </comment>
  </commentList>
</comments>
</file>

<file path=xl/comments16.xml><?xml version="1.0" encoding="utf-8"?>
<comments xmlns="http://schemas.openxmlformats.org/spreadsheetml/2006/main">
  <authors>
    <author>小肥猫</author>
  </authors>
  <commentList>
    <comment ref="G1" authorId="0">
      <text>
        <r>
          <rPr>
            <b/>
            <sz val="9"/>
            <rFont val="宋体"/>
            <charset val="134"/>
          </rPr>
          <t>小肥猫:</t>
        </r>
        <r>
          <rPr>
            <sz val="9"/>
            <rFont val="宋体"/>
            <charset val="134"/>
          </rPr>
          <t xml:space="preserve">
原始议题标注</t>
        </r>
      </text>
    </comment>
    <comment ref="H1" authorId="0">
      <text>
        <r>
          <rPr>
            <b/>
            <sz val="9"/>
            <rFont val="宋体"/>
            <charset val="134"/>
          </rPr>
          <t>小肥猫:</t>
        </r>
        <r>
          <rPr>
            <sz val="9"/>
            <rFont val="宋体"/>
            <charset val="134"/>
          </rPr>
          <t xml:space="preserve">
标准化议题标签</t>
        </r>
      </text>
    </comment>
  </commentList>
</comments>
</file>

<file path=xl/comments17.xml><?xml version="1.0" encoding="utf-8"?>
<comments xmlns="http://schemas.openxmlformats.org/spreadsheetml/2006/main">
  <authors>
    <author>小肥猫</author>
  </authors>
  <commentList>
    <comment ref="A1" authorId="0">
      <text>
        <r>
          <rPr>
            <b/>
            <sz val="9"/>
            <rFont val="宋体"/>
            <charset val="134"/>
          </rPr>
          <t>小肥猫:</t>
        </r>
        <r>
          <rPr>
            <sz val="9"/>
            <rFont val="宋体"/>
            <charset val="134"/>
          </rPr>
          <t xml:space="preserve">
原始议题标注</t>
        </r>
      </text>
    </comment>
    <comment ref="B1" authorId="0">
      <text>
        <r>
          <rPr>
            <b/>
            <sz val="9"/>
            <rFont val="宋体"/>
            <charset val="134"/>
          </rPr>
          <t>小肥猫:</t>
        </r>
        <r>
          <rPr>
            <sz val="9"/>
            <rFont val="宋体"/>
            <charset val="134"/>
          </rPr>
          <t xml:space="preserve">
标准化议题标签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<sst xmlns="http://schemas.openxmlformats.org/spreadsheetml/2006/main" count="14172" uniqueCount="529">
  <si>
    <t>表格勘误</t>
  </si>
  <si>
    <t>原文</t>
  </si>
  <si>
    <t>正确</t>
  </si>
  <si>
    <t>数据劳工</t>
  </si>
  <si>
    <t>数字劳工</t>
  </si>
  <si>
    <t>Summarized（no passcode）</t>
  </si>
  <si>
    <t>synthetic_actor_id</t>
  </si>
  <si>
    <t>nation</t>
  </si>
  <si>
    <t>Role</t>
  </si>
  <si>
    <t>id</t>
  </si>
  <si>
    <t>topic</t>
  </si>
  <si>
    <t>Q_id</t>
  </si>
  <si>
    <t>vote_round</t>
  </si>
  <si>
    <t>random_num</t>
  </si>
  <si>
    <t>selector</t>
  </si>
  <si>
    <t>final_issue_status</t>
  </si>
  <si>
    <t>issue_support_score</t>
  </si>
  <si>
    <t>topic_area（lite）</t>
  </si>
  <si>
    <t>topic_area（full）</t>
  </si>
  <si>
    <t>United States-gov</t>
  </si>
  <si>
    <t>US</t>
  </si>
  <si>
    <t>gov</t>
  </si>
  <si>
    <t>2.1</t>
  </si>
  <si>
    <t>保持人工智能领先地位</t>
  </si>
  <si>
    <t>Accepted</t>
  </si>
  <si>
    <t>1(4/4)</t>
  </si>
  <si>
    <t>产业创新</t>
  </si>
  <si>
    <t>创新监管张力与产业政策</t>
  </si>
  <si>
    <t>European Union-gov</t>
  </si>
  <si>
    <t>EU</t>
  </si>
  <si>
    <t>3.1</t>
  </si>
  <si>
    <t>special rule</t>
  </si>
  <si>
    <t>US-backup</t>
  </si>
  <si>
    <t>0.6(2/4.votepass)</t>
  </si>
  <si>
    <t>Kenya-worker</t>
  </si>
  <si>
    <t>Kenya</t>
  </si>
  <si>
    <t>worker</t>
  </si>
  <si>
    <t>4.3</t>
  </si>
  <si>
    <t>参与人工智能监管标准</t>
  </si>
  <si>
    <t>国际规则</t>
  </si>
  <si>
    <t>国际规则协调与跨境治理</t>
  </si>
  <si>
    <t>Kenya-user</t>
  </si>
  <si>
    <t>user</t>
  </si>
  <si>
    <t>4.4</t>
  </si>
  <si>
    <t>P.R. China-user</t>
  </si>
  <si>
    <t>China</t>
  </si>
  <si>
    <t>1.4</t>
  </si>
  <si>
    <t>大型企业技术权力与个人权力问题</t>
  </si>
  <si>
    <t>China-backup</t>
  </si>
  <si>
    <t>企业权力</t>
  </si>
  <si>
    <t>市场结构、企业权力与产业链关系</t>
  </si>
  <si>
    <t>United States-user</t>
  </si>
  <si>
    <t>2.4</t>
  </si>
  <si>
    <t>European Union-user</t>
  </si>
  <si>
    <t>3.4</t>
  </si>
  <si>
    <t>0.75(3/4)</t>
  </si>
  <si>
    <t>P.R. China-gov</t>
  </si>
  <si>
    <t>1.1</t>
  </si>
  <si>
    <t>大型企业技术权力与国家权力问题</t>
  </si>
  <si>
    <t>SPECIAL RULE</t>
  </si>
  <si>
    <t>Kenya-tech</t>
  </si>
  <si>
    <t>tech</t>
  </si>
  <si>
    <t>4.2</t>
  </si>
  <si>
    <t>大型企业权力与产业链下游公司问题</t>
  </si>
  <si>
    <t>P.R. China-worker</t>
  </si>
  <si>
    <t>1.3</t>
  </si>
  <si>
    <t>地缘政治影响开源社区</t>
  </si>
  <si>
    <t>开源生态</t>
  </si>
  <si>
    <t>开源模型、开放生态与开发者治理</t>
  </si>
  <si>
    <t>United States-tech</t>
  </si>
  <si>
    <t>2.2</t>
  </si>
  <si>
    <t>地缘政治影响研发</t>
  </si>
  <si>
    <t>Special rule</t>
  </si>
  <si>
    <t>地缘安全</t>
  </si>
  <si>
    <t>地缘政治、出口管制与国家安全</t>
  </si>
  <si>
    <t>United States-worker</t>
  </si>
  <si>
    <t>2.3</t>
  </si>
  <si>
    <t>European Union-tech</t>
  </si>
  <si>
    <t>3.2</t>
  </si>
  <si>
    <t>地缘政治影响用户</t>
  </si>
  <si>
    <t>个人数据安全问题</t>
  </si>
  <si>
    <t>数据治理</t>
  </si>
  <si>
    <t>数据资源、隐私保护与跨境流动</t>
  </si>
  <si>
    <t>European Union-worker</t>
  </si>
  <si>
    <t>3.3</t>
  </si>
  <si>
    <t>公共部门如何使用人工智能</t>
  </si>
  <si>
    <t>监管治理</t>
  </si>
  <si>
    <t>监管制度设计与治理执行</t>
  </si>
  <si>
    <t>Kenya-gov</t>
  </si>
  <si>
    <t>4.1</t>
  </si>
  <si>
    <t>P.R. China-tech</t>
  </si>
  <si>
    <t>1.2</t>
  </si>
  <si>
    <t>公司参与人工智能监管标准</t>
  </si>
  <si>
    <t>国际治理规则博弈</t>
  </si>
  <si>
    <t>国际治理规则不统一的问题</t>
  </si>
  <si>
    <t>环保合规问题</t>
  </si>
  <si>
    <t>算力自主</t>
  </si>
  <si>
    <t>算力基础设施、能源约束与技术自主</t>
  </si>
  <si>
    <t>监管不公问题</t>
  </si>
  <si>
    <t>监管规则不统一</t>
  </si>
  <si>
    <t>监管是否会影响创新</t>
  </si>
  <si>
    <t>监管与公民权的冲突</t>
  </si>
  <si>
    <t>用户公平</t>
  </si>
  <si>
    <t>用户权利、社会公平与公众信任</t>
  </si>
  <si>
    <t>军用人工智能问题</t>
  </si>
  <si>
    <t>开源合规问题</t>
  </si>
  <si>
    <t>开源模型监管问题</t>
  </si>
  <si>
    <t>跨境人工智能如何监管</t>
  </si>
  <si>
    <t>跨境数据流动问题</t>
  </si>
  <si>
    <t>劳工权益受损</t>
  </si>
  <si>
    <t>劳动权益</t>
  </si>
  <si>
    <t>劳动就业、劳工权益与组织强制</t>
  </si>
  <si>
    <t>人工智能分类分级监管</t>
  </si>
  <si>
    <t>人工智能模型责任划分问题</t>
  </si>
  <si>
    <t>模型风险</t>
  </si>
  <si>
    <t>模型安全、技术风险与责任划分</t>
  </si>
  <si>
    <t>人工智能平权问题</t>
  </si>
  <si>
    <t>人工智能侵权救济问题</t>
  </si>
  <si>
    <t>人工智能生成内容的知识产权问题</t>
  </si>
  <si>
    <t>内容及产权</t>
  </si>
  <si>
    <t>内容安全、虚假信息与知识产权</t>
  </si>
  <si>
    <t>人工智能生成虚假信息</t>
  </si>
  <si>
    <t>人工智能训练数据集的知识产权问题</t>
  </si>
  <si>
    <t>人工智能影响就业</t>
  </si>
  <si>
    <t>人工智能影响社会公平</t>
  </si>
  <si>
    <t>人工智能自主化问题</t>
  </si>
  <si>
    <t>算力建设问题</t>
  </si>
  <si>
    <t>先进人工智能安全问题</t>
  </si>
  <si>
    <t>意识形态安全问题</t>
  </si>
  <si>
    <t>政府缺乏监管能力</t>
  </si>
  <si>
    <t>中小企业参与人工智能</t>
  </si>
  <si>
    <t>资本与监管冲突</t>
  </si>
  <si>
    <t>actor_id</t>
  </si>
  <si>
    <t>1.2,1.3,1.4,2.1,2.2,2.3,2.4,3.2,3.3,3.4,4.2,4.3,4.4</t>
  </si>
  <si>
    <t>1.1,1.2,1.3,1.4,2.1,2.2,2.3,2.4,3.1,3.2,3.3,3.4,4.1,4.2,4.3,4.4</t>
  </si>
  <si>
    <t>1.1,3.1,4.1</t>
  </si>
  <si>
    <t>1.1,1.2,1.3,1.4,2.1,2.2,2.3,2.4,3.1,3.2,3.3,4.1,4.4</t>
  </si>
  <si>
    <t>3.4,4.2,4.3</t>
  </si>
  <si>
    <t>1.1,1.2,1.3,1.4,2.1,2.3,2.4,3.2,3.3,3.4,4.1,4.4</t>
  </si>
  <si>
    <t>2.2,3.1,4.2,4.3</t>
  </si>
  <si>
    <t>1.1,1.2,1.3,2.1,2.2,2.3,3.1,3.2,3.3,3.4,4.1</t>
  </si>
  <si>
    <t>1.4,2.4,4.2,4.3,4.4</t>
  </si>
  <si>
    <t>1.1,1.4,2.1,2.4,3.1,4.1,4.2,4.3,4.4</t>
  </si>
  <si>
    <t>1.2,1.3,2.2,2.3,3.2,3.3,3.4</t>
  </si>
  <si>
    <t>2.3,2.4,3.2,3.4,4.1,4.2,4.3,4.4</t>
  </si>
  <si>
    <t>1.1,1.2,1.3,1.4,2.1,2.2,3.1,3.3</t>
  </si>
  <si>
    <t>1.3,1.4,2.3,2.4,3.3,3.4,4.4</t>
  </si>
  <si>
    <t>1.1,1.2,2.1,2.2,3.1,3.2,4.1,4.2,4.3</t>
  </si>
  <si>
    <t>1.2,2.2,2.3,3.2,3.3,3.4,4.2</t>
  </si>
  <si>
    <t>1.1,1.3,1.4,2.1,2.4,3.1,4.1,4.3,4.4</t>
  </si>
  <si>
    <t>1.2,2.1,2.4,3.1,3.2,3.3,3.4</t>
  </si>
  <si>
    <t>1.1,1.3,1.4,2.2,2.3,4.1,4.2,4.3,4.4</t>
  </si>
  <si>
    <t>1.1,1.2,1.3,3.1,3.2,3.3,4.1</t>
  </si>
  <si>
    <t>1.4,2.1,2.2,2.3,2.4,3.4,4.2,4.3,4.4</t>
  </si>
  <si>
    <t>1.1,1.3,2.3,3.1,3.2,3.3</t>
  </si>
  <si>
    <t>1.2,1.4,2.1,2.2,2.4,3.4,4.1,4.2,4.3,4.4</t>
  </si>
  <si>
    <t>1.4,2.4,3.4,4.1,4.3,4.4</t>
  </si>
  <si>
    <t>1.1,1.2,1.3,2.1,2.2,2.3,3.1,3.2,3.3,4.2</t>
  </si>
  <si>
    <t>1.4,2.4,3.4,4.3</t>
  </si>
  <si>
    <t>1.1,1.2,1.3,2.1,2.2,2.3,3.1,3.2,3.3,4.1,4.2,4.4</t>
  </si>
  <si>
    <t>1.1,1.2,1.3,1.4</t>
  </si>
  <si>
    <t>2.1,2.2,2.3,2.4,3.1,3.2,3.3,3.4,4.1,4.2,4.3,4.4</t>
  </si>
  <si>
    <t>1.1,2.1,2.4</t>
  </si>
  <si>
    <t>1.2,1.3,1.4,2.2,2.3,3.1,3.2,3.3,3.4,4.1,4.2,4.3,4.4</t>
  </si>
  <si>
    <t>2.2,2.3,3.2</t>
  </si>
  <si>
    <t>1.1,1.2,1.3,1.4,2.1,2.4,3.1,3.3,3.4,4.1,4.2,4.3,4.4</t>
  </si>
  <si>
    <t>1.1,2.1,3.1</t>
  </si>
  <si>
    <t>1.2,1.3,1.4,2.2,2.3,2.4,3.2,3.3,3.4,4.1,4.2,4.3,4.4</t>
  </si>
  <si>
    <t>1.1,2.2,4.1</t>
  </si>
  <si>
    <t>1.2,1.3,1.4,2.1,2.3,2.4,3.1,3.2,3.3,3.4,4.2,4.3,4.4</t>
  </si>
  <si>
    <t>1.1,3.1,3.2</t>
  </si>
  <si>
    <t>1.2,1.3,1.4,2.1,2.2,2.3,2.4,3.3,3.4,4.1,4.2,4.3,4.4</t>
  </si>
  <si>
    <t>1.2,2.2,4.2</t>
  </si>
  <si>
    <t>1.1,1.3,1.4,2.1,2.3,2.4,3.1,3.2,3.3,3.4,4.1,4.3,4.4</t>
  </si>
  <si>
    <t>2.1,3.1</t>
  </si>
  <si>
    <t>1.1,1.2,1.3,1.4,2.2,2.3,2.4,3.2,3.3,3.4,4.1,4.2,4.3,4.4</t>
  </si>
  <si>
    <t>4.3,4.4</t>
  </si>
  <si>
    <t>1.1,1.2,1.3,1.4,2.1,2.2,2.3,2.4,3.1,3.2,3.3,3.4,4.1,4.2</t>
  </si>
  <si>
    <t>3.1,4.1</t>
  </si>
  <si>
    <t>1.1,1.2,1.3,1.4,2.1,2.2,2.3,2.4,3.2,3.3,3.4,4.2,4.3,4.4</t>
  </si>
  <si>
    <t>1.2,4.2</t>
  </si>
  <si>
    <t>1.1,1.3,1.4,2.1,2.2,2.3,2.4,3.1,3.2,3.3,3.4,4.1,4.3,4.4</t>
  </si>
  <si>
    <t>2.3,3.3</t>
  </si>
  <si>
    <t>1.1,1.2,1.3,1.4,2.1,2.2,2.4,3.1,3.2,3.4,4.1,4.2,4.3,4.4</t>
  </si>
  <si>
    <t>3.4,4.4</t>
  </si>
  <si>
    <t>1.1,1.2,1.3,1.4,2.1,2.2,2.3,2.4,3.1,3.2,3.3,4.1,4.2,4.3</t>
  </si>
  <si>
    <t>1.1,1.2,1.3,1.4,2.1,2.2,2.3,2.4,3.1,3.2,3.3,3.4,4.1,4.3,4.4</t>
  </si>
  <si>
    <t>1.1,1.2,1.4,2.1,2.2,2.3,2.4,3.1,3.2,3.3,3.4,4.1,4.2,4.3,4.4</t>
  </si>
  <si>
    <t>1.1,1.2,1.3,1.4,2.1,2.2,2.3,3.1,3.2,3.3,3.4,4.1,4.2,4.3,4.4</t>
  </si>
  <si>
    <t>1.1,1.2,1.3,1.4,2.1,2.2,2.3,2.4,3.1,3.2,3.3,3.4,4.1,4.2,4.4</t>
  </si>
  <si>
    <t>1.1,1.2,1.3,1.4,2.1,2.2,2.3,2.4,3.1,3.2,3.3,3.4,4.2,4.3,4.4</t>
  </si>
  <si>
    <t>1.1,1.2,1.3,1.4,2.2,2.3,2.4,3.1,3.2,3.3,3.4,4.1,4.2,4.3,4.4</t>
  </si>
  <si>
    <t>1.2,1.3,1.4,2.1,2.2,2.3,2.4,3.1,3.2,3.3,3.4,4.1,4.2,4.3,4.4</t>
  </si>
  <si>
    <t>1.1,1.2,1.3,2.1,2.2,2.3,2.4,3.1,3.2,3.3,3.4,4.1,4.2,4.3,4.4</t>
  </si>
  <si>
    <t>1.1,1.2,1.3,1.4,2.1,2.2,2.3,2.4,3.1,3.2,3.4,4.1,4.2,4.3,4.4</t>
  </si>
  <si>
    <t>1.1,1.2,1.3,1.4,2.1,2.2,2.3,2.4,3.1,3.2,3.3,4.1,4.2,4.3,4.4</t>
  </si>
  <si>
    <t>1.1,1.3,1.4,2.1,2.2,2.3,2.4,3.1,3.2,3.3,3.4,4.1,4.2,4.3,4.4</t>
  </si>
  <si>
    <t>N/A</t>
  </si>
  <si>
    <t>服务提供商监管问题</t>
  </si>
  <si>
    <t>Rejected</t>
  </si>
  <si>
    <t>0.25(1/4)</t>
  </si>
  <si>
    <t>大型企业竞争问题</t>
  </si>
  <si>
    <t>US-BACKUP</t>
  </si>
  <si>
    <t>0.4(2/4+votedenied)</t>
  </si>
  <si>
    <t>人工智能人才问题</t>
  </si>
  <si>
    <t>0.6(2/4+votepass)</t>
  </si>
  <si>
    <t>人工智能与实体经济结合</t>
  </si>
  <si>
    <t>人工智能责任划分</t>
  </si>
  <si>
    <t>数据安全问题</t>
  </si>
  <si>
    <t>大型企业出海问题</t>
  </si>
  <si>
    <t>多元主体治理引导</t>
  </si>
  <si>
    <t>防止治理流于形式问题</t>
  </si>
  <si>
    <t>人工智能应当如何规制</t>
  </si>
  <si>
    <t>数据质量问题</t>
  </si>
  <si>
    <t>学术诚信问题</t>
  </si>
  <si>
    <t>政府间关系</t>
  </si>
  <si>
    <t>政府数据问题</t>
  </si>
  <si>
    <t>vote-needed</t>
  </si>
  <si>
    <t>数据成本问题</t>
  </si>
  <si>
    <t>人工智能影响教育</t>
  </si>
  <si>
    <t>人工智能认知问题</t>
  </si>
  <si>
    <t>开源与竞争力问题</t>
  </si>
  <si>
    <t>伦理问题</t>
  </si>
  <si>
    <t>劳动者权益问题</t>
  </si>
  <si>
    <t>公司内部权责划分</t>
  </si>
  <si>
    <t>出口管制</t>
  </si>
  <si>
    <t>安全与人工、能力之间的矛盾</t>
  </si>
  <si>
    <t>AI生成内容影响训练集</t>
  </si>
  <si>
    <t>政府补贴问题</t>
  </si>
  <si>
    <t>社会压力强制要求接受AI</t>
  </si>
  <si>
    <t>Vote-needed</t>
  </si>
  <si>
    <t>人工智能检测工具影响生活</t>
  </si>
  <si>
    <t>滥用AI侵犯个人权益问题</t>
  </si>
  <si>
    <t>开源模型选择受限</t>
  </si>
  <si>
    <t>AI生成内容影响日常使用</t>
  </si>
  <si>
    <t>政府监管的横纵问题</t>
  </si>
  <si>
    <t>学界是否独立问题</t>
  </si>
  <si>
    <t>人工智能价值观对齐问题</t>
  </si>
  <si>
    <t>人工智能风险监管</t>
  </si>
  <si>
    <t>人工智能参与网络犯罪</t>
  </si>
  <si>
    <t>国内政治影响监管</t>
  </si>
  <si>
    <t>国际治理协作问题</t>
  </si>
  <si>
    <t>公众信任问题</t>
  </si>
  <si>
    <t>风险评估问题</t>
  </si>
  <si>
    <t>意识形态问题</t>
  </si>
  <si>
    <t>Speical Rule</t>
  </si>
  <si>
    <t>人工智能依赖</t>
  </si>
  <si>
    <t>Special Rule</t>
  </si>
  <si>
    <t>国家财政支持问题</t>
  </si>
  <si>
    <t>公众舆论问题</t>
  </si>
  <si>
    <t>开发者资质</t>
  </si>
  <si>
    <t>个体规范使用人工智能</t>
  </si>
  <si>
    <t>地缘政治影响选择</t>
  </si>
  <si>
    <t>劳工影响运行</t>
  </si>
  <si>
    <t>监管自主化问题</t>
  </si>
  <si>
    <t>国内政治影响企业运行</t>
  </si>
  <si>
    <t>role</t>
  </si>
  <si>
    <t>P.R. China</t>
  </si>
  <si>
    <t>Government</t>
  </si>
  <si>
    <t>教育科研</t>
  </si>
  <si>
    <t>教育、科研独立与人才生态</t>
  </si>
  <si>
    <t>AI Related Technology Company</t>
  </si>
  <si>
    <t>AI Related Worker</t>
  </si>
  <si>
    <t>AI user</t>
  </si>
  <si>
    <t>United States</t>
  </si>
  <si>
    <t>European Union</t>
  </si>
  <si>
    <t>actor_type</t>
  </si>
  <si>
    <t>country_or_region</t>
  </si>
  <si>
    <t>model_name</t>
  </si>
  <si>
    <t>nationality</t>
  </si>
  <si>
    <t>issue_raw_label</t>
  </si>
  <si>
    <t>issue_standard_label</t>
  </si>
  <si>
    <t>TEST</t>
  </si>
  <si>
    <t>Doubao Seed 2.0 Pro</t>
  </si>
  <si>
    <t>AI虚假新闻</t>
  </si>
  <si>
    <t>AI生成敏感内容</t>
  </si>
  <si>
    <t>AI传播不良信息</t>
  </si>
  <si>
    <t>群体性谣言</t>
  </si>
  <si>
    <t>个人数据合规使用</t>
  </si>
  <si>
    <t>防止敏感数据流出</t>
  </si>
  <si>
    <t>监管与发展的平衡难题</t>
  </si>
  <si>
    <t>AI换脸诈骗</t>
  </si>
  <si>
    <t>AI黄谣</t>
  </si>
  <si>
    <t>AI监管困境</t>
  </si>
  <si>
    <t>国际规则博弈</t>
  </si>
  <si>
    <t>AI出问题判定责任</t>
  </si>
  <si>
    <t>算法歧视</t>
  </si>
  <si>
    <t>信息茧房</t>
  </si>
  <si>
    <t>算力供需不匹配，存在政绩工程</t>
  </si>
  <si>
    <t>地方政府存储的数据不安全</t>
  </si>
  <si>
    <t>公共部门规范使用AI</t>
  </si>
  <si>
    <t>AI冲击就业影响民生</t>
  </si>
  <si>
    <t>跨境AI监管</t>
  </si>
  <si>
    <t>使用者给跨境AI提供敏感数据</t>
  </si>
  <si>
    <t>AI训练集的知识产权问题</t>
  </si>
  <si>
    <t>AI生成内容的知识产权问题</t>
  </si>
  <si>
    <t>军用AI的全球治理问题</t>
  </si>
  <si>
    <t>DeepSeek Reasoner V3.2</t>
  </si>
  <si>
    <t>深度伪造内容用于诈骗或煽动</t>
  </si>
  <si>
    <t>数据泄漏问题</t>
  </si>
  <si>
    <t>生成内容安全</t>
  </si>
  <si>
    <t>数据出境问题</t>
  </si>
  <si>
    <t>使用境外数据问题</t>
  </si>
  <si>
    <t>降低对境外硬件的依赖度，提升技术自主，降低供应链风险</t>
  </si>
  <si>
    <t>国际监管规则竞争</t>
  </si>
  <si>
    <t>创新与监管的平衡</t>
  </si>
  <si>
    <t>算法歧视是否会引发群体性事件</t>
  </si>
  <si>
    <t>算力能耗与算力布局</t>
  </si>
  <si>
    <t>产业补贴与实际资源倾斜的问题</t>
  </si>
  <si>
    <t>民用ai如何军用转化</t>
  </si>
  <si>
    <t>国际人才竞争</t>
  </si>
  <si>
    <t>人才背景安全问题</t>
  </si>
  <si>
    <t>中小企业如何参与</t>
  </si>
  <si>
    <t>公众参与与舆论引导的平衡</t>
  </si>
  <si>
    <t>Google Gemini 3.1 Pro Preview</t>
  </si>
  <si>
    <t>美国管制人工智能出口</t>
  </si>
  <si>
    <t>监管与创新的博弈</t>
  </si>
  <si>
    <t>国内互联网巨头之间的关系</t>
  </si>
  <si>
    <t>防止大企业利用数据和算力冲击国家权力</t>
  </si>
  <si>
    <t>人工智能如何与实体经济相结合</t>
  </si>
  <si>
    <t>防止人工智能仅仅作为流量游戏</t>
  </si>
  <si>
    <t>国际监管规则博弈</t>
  </si>
  <si>
    <t>防止美国生成AI铁幕</t>
  </si>
  <si>
    <t>中文数据质量较差</t>
  </si>
  <si>
    <t>头部企业之间产生数据孤岛</t>
  </si>
  <si>
    <t>训练数据集的知识产权问题</t>
  </si>
  <si>
    <t>对套壳开源的警惕</t>
  </si>
  <si>
    <t>对美国禁止开源模型对华开放的警惕</t>
  </si>
  <si>
    <t>开源模型与安全监管的困境</t>
  </si>
  <si>
    <t>OpenAI ChatGPT 5.4 Pro</t>
  </si>
  <si>
    <t>跨境数据如何处理</t>
  </si>
  <si>
    <t>政府数据能否开放</t>
  </si>
  <si>
    <t>头部企业之间数据流动问题</t>
  </si>
  <si>
    <t>横纵部门协调</t>
  </si>
  <si>
    <t>民用ai转化为军用的安全风险</t>
  </si>
  <si>
    <t>防止大企业利用技术权力冲击国家权力</t>
  </si>
  <si>
    <t>公共部门乱用ai的事后治理</t>
  </si>
  <si>
    <t>治理制度是否会落入形式</t>
  </si>
  <si>
    <t>AI出问题的时候普通人如何救济</t>
  </si>
  <si>
    <t>虚假信息影响司法等</t>
  </si>
  <si>
    <t>对开源模型的警惕，防止美国断流</t>
  </si>
  <si>
    <t>企业出海</t>
  </si>
  <si>
    <t>网络风险</t>
  </si>
  <si>
    <t>事故报告</t>
  </si>
  <si>
    <t>紧急下线</t>
  </si>
  <si>
    <t>产品召回</t>
  </si>
  <si>
    <t>GAI服务备案</t>
  </si>
  <si>
    <t>GAI内容安全监管</t>
  </si>
  <si>
    <t>训练数据的版权问题</t>
  </si>
  <si>
    <t>训练数据成本问题</t>
  </si>
  <si>
    <t>数据出境的情况</t>
  </si>
  <si>
    <t>跨境数据流动规则</t>
  </si>
  <si>
    <t>算法透明与商业机密的冲突</t>
  </si>
  <si>
    <t>美国对AI芯片的限制</t>
  </si>
  <si>
    <t>中国对先进算力出口的要求</t>
  </si>
  <si>
    <t>个人信息泄露风险</t>
  </si>
  <si>
    <t>国际人工智能监管落实情况</t>
  </si>
  <si>
    <t>伦理要求与业务增长的冲突</t>
  </si>
  <si>
    <t>人工智能分类分级监管标准</t>
  </si>
  <si>
    <t>人工智能相关标准的制定参与问题</t>
  </si>
  <si>
    <t>人工智能生成的数据的合规问题是否有版权</t>
  </si>
  <si>
    <t>开源模型的权责问题，自己的模型被滥用又该怎么办</t>
  </si>
  <si>
    <t>大模型的能耗和碳排放监管问题</t>
  </si>
  <si>
    <t>AI生成虚假内容中防止深度伪造诈骗和用户体验的冲突</t>
  </si>
  <si>
    <t>提供人工智能模型的连带责任问题</t>
  </si>
  <si>
    <t>跨境服务的管辖权问题</t>
  </si>
  <si>
    <t>降低算力需求</t>
  </si>
  <si>
    <t>适配新的国产生态</t>
  </si>
  <si>
    <t>如何合规使用用户数据</t>
  </si>
  <si>
    <t>人工智能监管规则不同问题</t>
  </si>
  <si>
    <t>人工智能出错归责问题</t>
  </si>
  <si>
    <t>创新与监管问题</t>
  </si>
  <si>
    <t>资本期望问题</t>
  </si>
  <si>
    <t>大模型出海本土化问题</t>
  </si>
  <si>
    <t>如何留住人才</t>
  </si>
  <si>
    <t>模型开源是否会丧失竞争力</t>
  </si>
  <si>
    <t>模型安全与模型能力的张力</t>
  </si>
  <si>
    <t>模型幻觉导致负面舆论</t>
  </si>
  <si>
    <t>公司对通用人工智能的恐惧</t>
  </si>
  <si>
    <t>公众对人工智能模型的错误理解</t>
  </si>
  <si>
    <t>在国际监管规则不统一的情况下是否要准备多套技术栈</t>
  </si>
  <si>
    <t>如何躲避美国算力限制</t>
  </si>
  <si>
    <t>囤积训练数据以躲避版权问题</t>
  </si>
  <si>
    <t>提供模型的连带责任问题</t>
  </si>
  <si>
    <t>智能体的破坏性风险</t>
  </si>
  <si>
    <t>模型可靠性问题</t>
  </si>
  <si>
    <t>用户数据安全问题</t>
  </si>
  <si>
    <t>监管成本问题</t>
  </si>
  <si>
    <t>AI生成虚假内容导致负面舆论、加强监管</t>
  </si>
  <si>
    <t>人工智能偏见问题</t>
  </si>
  <si>
    <t>数据劳工人权问题</t>
  </si>
  <si>
    <t>模型安全问题</t>
  </si>
  <si>
    <t>责任分配问题</t>
  </si>
  <si>
    <t>公共部门使用人工智能的风险问题</t>
  </si>
  <si>
    <t>人工智能军用问题</t>
  </si>
  <si>
    <t>人工智能导致教育问题</t>
  </si>
  <si>
    <t>人工智能替代劳工问题</t>
  </si>
  <si>
    <t>大型公司的权力集中</t>
  </si>
  <si>
    <t>在国际监管规则不统一的情况下的规则问题</t>
  </si>
  <si>
    <t>治理形式化</t>
  </si>
  <si>
    <t>能源消耗过大</t>
  </si>
  <si>
    <t>资本期望和监管之间的矛盾问题</t>
  </si>
  <si>
    <t>能源监管问题</t>
  </si>
  <si>
    <t>中国对先进技术出口的要求</t>
  </si>
  <si>
    <t>AI生成虚假内容中防止深度伪造诈骗和能力的冲突</t>
  </si>
  <si>
    <t>地缘政治导致开源内容日益受到限制</t>
  </si>
  <si>
    <t>要求遵守标准</t>
  </si>
  <si>
    <t>强制要求适配新的国产生态</t>
  </si>
  <si>
    <t>伦理要求</t>
  </si>
  <si>
    <t>受制裁风险</t>
  </si>
  <si>
    <t>内容合规与AI能力的冲突</t>
  </si>
  <si>
    <t>谁来制定标准的问题</t>
  </si>
  <si>
    <t>平台出现额外规则</t>
  </si>
  <si>
    <t>公司内部权责划分问题</t>
  </si>
  <si>
    <t>实现国产替代和可控</t>
  </si>
  <si>
    <t>出现问题后的救济问题</t>
  </si>
  <si>
    <t>要求人作为模型安全兜底</t>
  </si>
  <si>
    <t>AI生成的数据污染数据问题</t>
  </si>
  <si>
    <t>AI冲击就业</t>
  </si>
  <si>
    <t>SUMMARY BELOW</t>
  </si>
  <si>
    <t>AI生成敏感内容管制过于严格</t>
  </si>
  <si>
    <t>公司使用ai监管员工的限制</t>
  </si>
  <si>
    <t>收集个人信息是否合规</t>
  </si>
  <si>
    <t>人工智能普及中特殊群体困境</t>
  </si>
  <si>
    <t>规则变化快，消费者没有发言权</t>
  </si>
  <si>
    <t>平台单方面定价，用户没有权利</t>
  </si>
  <si>
    <t>美国对AI芯片的限制导致使用受限</t>
  </si>
  <si>
    <t>年龄限制过于严格</t>
  </si>
  <si>
    <t>人工智能与算法推荐之间标记不清</t>
  </si>
  <si>
    <t>不同平台监管规则差别</t>
  </si>
  <si>
    <t>政府补贴导致骗补</t>
  </si>
  <si>
    <t>防止AI生成敏感内容导致用户体验差</t>
  </si>
  <si>
    <t>数据鸿沟</t>
  </si>
  <si>
    <t>平台单方面定价，用户没有权利，免费收费的差别大</t>
  </si>
  <si>
    <t>AI是否会半推半就成为必然要求</t>
  </si>
  <si>
    <t>弱势群体盲信盲从AI问题</t>
  </si>
  <si>
    <t>用户没有话语权，只是适应规则</t>
  </si>
  <si>
    <t>AI检测是否会产生误伤</t>
  </si>
  <si>
    <t>是否只有AI没有人工客服</t>
  </si>
  <si>
    <t>AI生成内容是否会导致信息检索困难</t>
  </si>
  <si>
    <t>用户丧失选择权</t>
  </si>
  <si>
    <t>用户没有知情权</t>
  </si>
  <si>
    <t>学校和单位监管ai的困境，规则不同意</t>
  </si>
  <si>
    <t>压制中国AI发展</t>
  </si>
  <si>
    <t>国内政治导致监管无法统一</t>
  </si>
  <si>
    <t>开源模型监管真空</t>
  </si>
  <si>
    <t>开源模型导致制裁失效</t>
  </si>
  <si>
    <t>外包导致训练数据集污染问题</t>
  </si>
  <si>
    <t>中国产硬件问题</t>
  </si>
  <si>
    <t>AI生成虚假内容中防止深度伪造诈骗和公民自由的冲突</t>
  </si>
  <si>
    <t>人工智能与网络黑产结合</t>
  </si>
  <si>
    <t>如何保证人工智能领先地位</t>
  </si>
  <si>
    <t>保持领先地位和监管手段的冲突</t>
  </si>
  <si>
    <t>民用ai转化为军用的问题</t>
  </si>
  <si>
    <t>应该将人工智能对齐到谁的价值观</t>
  </si>
  <si>
    <t>压制中国人工智能发展的同时需要合作</t>
  </si>
  <si>
    <t>与盟伴协同治理中各有小九九</t>
  </si>
  <si>
    <t>长期风险与短期风险之间争夺监管注意力</t>
  </si>
  <si>
    <t>公众不再相信科技巨头</t>
  </si>
  <si>
    <t>能源达到瓶颈</t>
  </si>
  <si>
    <t>管制人工智能出口</t>
  </si>
  <si>
    <t>防止前沿模型成为国安风险</t>
  </si>
  <si>
    <t>监管碎片化</t>
  </si>
  <si>
    <t>中小企业能否参与人工智能</t>
  </si>
  <si>
    <t>开源模型扩散导致丧失领先地位</t>
  </si>
  <si>
    <t>公民权利问题</t>
  </si>
  <si>
    <t>联邦和州内政府的监管差异问题</t>
  </si>
  <si>
    <t>风险是否有可靠评估方法</t>
  </si>
  <si>
    <t>供应链脆弱</t>
  </si>
  <si>
    <t>学界是否能够保持独立</t>
  </si>
  <si>
    <t>又想树立标准又怕全球南方国家不接受</t>
  </si>
  <si>
    <t>开闭源模型监管规则不同问题</t>
  </si>
  <si>
    <t>劳资纠纷问题</t>
  </si>
  <si>
    <t>开源内容延伸许可合规问题</t>
  </si>
  <si>
    <t>合规成本问题</t>
  </si>
  <si>
    <t>如何利用公司权力制定标准去阻碍后来者</t>
  </si>
  <si>
    <t>刻意渲染风险阻止开源模型</t>
  </si>
  <si>
    <t>国家地缘政治要求绑架公司</t>
  </si>
  <si>
    <t>意识形态站队与文化战争问题</t>
  </si>
  <si>
    <t>研发权问题</t>
  </si>
  <si>
    <t>模型发布权限问题</t>
  </si>
  <si>
    <t>标准是否会影响中小企业和开源社区</t>
  </si>
  <si>
    <t>基础设施建设问题</t>
  </si>
  <si>
    <t>平台和芯片厂商实质作为监管者</t>
  </si>
  <si>
    <t>开源模型治理困难</t>
  </si>
  <si>
    <t>模型更新迭代迅速</t>
  </si>
  <si>
    <t>弱势群体问题</t>
  </si>
  <si>
    <t>人工智能异化劳动</t>
  </si>
  <si>
    <t>过度依赖人工智能问题</t>
  </si>
  <si>
    <t>开源模型监管问题影响开源社区</t>
  </si>
  <si>
    <t>算法透明要求</t>
  </si>
  <si>
    <t>算力需要报备</t>
  </si>
  <si>
    <t>开源内容延伸合规问题</t>
  </si>
  <si>
    <t>AI生成虚假内容中防止深度伪造诈骗和成本的冲突</t>
  </si>
  <si>
    <t>上游来源连带责任风险</t>
  </si>
  <si>
    <t>国家地缘政治要求绑架个人</t>
  </si>
  <si>
    <t>平台随便禁止内容，用户没有权利，大模型提供商规则不透明</t>
  </si>
  <si>
    <t>Model_ID</t>
  </si>
  <si>
    <t>监管落地执行问题</t>
  </si>
  <si>
    <t>大型公司试图逃避监管问题</t>
  </si>
  <si>
    <t>人工智能产业链自主化问题</t>
  </si>
  <si>
    <t>在人工智能竞赛中占据一席之位</t>
  </si>
  <si>
    <t>防止大企业利用数据和算力冲击个人权力</t>
  </si>
  <si>
    <t>监管偏向外国企业</t>
  </si>
  <si>
    <t>使用开源模型推卸责任</t>
  </si>
  <si>
    <t>多语种支持问题</t>
  </si>
  <si>
    <t>开发者职业培训制度</t>
  </si>
  <si>
    <t>公众舆论</t>
  </si>
  <si>
    <t>个人规范使用问题</t>
  </si>
  <si>
    <t>数据主权问题</t>
  </si>
  <si>
    <t>人工智能先进国家AI不符合该国实际</t>
  </si>
  <si>
    <t>无法参与人工智能治理标准制定</t>
  </si>
  <si>
    <t>基础设施建设与自主性冲突</t>
  </si>
  <si>
    <t>处于地缘政治夹缝之中</t>
  </si>
  <si>
    <t>适配性问题</t>
  </si>
  <si>
    <t>大型公司权力超然</t>
  </si>
  <si>
    <t>上游大公司制定规则，小公司没有议价权</t>
  </si>
  <si>
    <t>规则照抄国外，影响生计</t>
  </si>
  <si>
    <t>产业链下游公司没有知情权</t>
  </si>
  <si>
    <t>上游大公司向小公司转嫁责任</t>
  </si>
  <si>
    <t>数据泄露问题</t>
  </si>
  <si>
    <t>国家政治要求绑架公司</t>
  </si>
  <si>
    <t>员工争取权益</t>
  </si>
  <si>
    <t>企业向劳动者转嫁责任</t>
  </si>
  <si>
    <t>在国际监管规则不统一的情况下生计受到影响</t>
  </si>
  <si>
    <t>上游大公司制定规则，劳工没有议价权</t>
  </si>
  <si>
    <t>报酬过低</t>
  </si>
  <si>
    <t>南方国家不能指定标准问题</t>
  </si>
  <si>
    <t>企业要求劳工承担额外成本等影响劳工权益问题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</si>
</sst>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9" applyNumberFormat="0" applyAlignment="0" applyProtection="0">
      <alignment vertical="center"/>
    </xf>
    <xf numFmtId="0" fontId="10" fillId="5" borderId="10" applyNumberFormat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6" borderId="11" applyNumberFormat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Fill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" xfId="0" applyNumberFormat="1" applyFill="1" applyBorder="1">
      <alignment vertical="center"/>
    </xf>
    <xf numFmtId="0" fontId="0" fillId="0" borderId="1" xfId="0" applyFill="1" applyBorder="1">
      <alignment vertical="center"/>
    </xf>
    <xf numFmtId="0" fontId="0" fillId="0" borderId="4" xfId="0" applyFill="1" applyBorder="1">
      <alignment vertical="center"/>
    </xf>
    <xf numFmtId="0" fontId="0" fillId="0" borderId="0" xfId="0" applyFill="1" applyBorder="1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0" borderId="1" xfId="0" applyNumberFormat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0" xfId="0" applyNumberFormat="1" applyFill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5" xfId="0" applyFill="1" applyBorder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NumberForma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NumberFormat="1" applyFill="1" applyAlignment="1">
      <alignment vertical="center"/>
    </xf>
    <xf numFmtId="49" fontId="0" fillId="0" borderId="0" xfId="0" applyNumberFormat="1">
      <alignment vertical="center"/>
    </xf>
    <xf numFmtId="49" fontId="0" fillId="0" borderId="1" xfId="0" applyNumberFormat="1" applyFill="1" applyBorder="1" applyAlignment="1">
      <alignment horizontal="center" vertical="center"/>
    </xf>
    <xf numFmtId="49" fontId="0" fillId="0" borderId="5" xfId="0" applyNumberFormat="1" applyFill="1" applyBorder="1">
      <alignment vertical="center"/>
    </xf>
    <xf numFmtId="49" fontId="0" fillId="0" borderId="1" xfId="0" applyNumberFormat="1" applyFill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1" xfId="0" applyNumberForma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eetMetadata" Target="metadata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customXml" Target="../customXml/item1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comments" Target="../comments13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comments" Target="../comments14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comments" Target="../comments15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comments" Target="../comments16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comments" Target="../comments1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zoomScale="85" zoomScaleNormal="85" workbookViewId="0">
      <selection activeCell="E8" sqref="E8"/>
    </sheetView>
  </sheetViews>
  <sheetFormatPr defaultColWidth="8.61261261261261" defaultRowHeight="14.1" outlineLevelRow="2" outlineLevelCol="1"/>
  <sheetData>
    <row r="1" spans="1:2">
      <c r="A1" s="29" t="s">
        <v>0</v>
      </c>
      <c r="B1" s="30"/>
    </row>
    <row r="2" spans="1:2">
      <c r="A2" s="3" t="s">
        <v>1</v>
      </c>
      <c r="B2" s="3" t="s">
        <v>2</v>
      </c>
    </row>
    <row r="3" spans="1:2">
      <c r="A3" s="3" t="s">
        <v>3</v>
      </c>
      <c r="B3" s="3" t="s">
        <v>4</v>
      </c>
    </row>
  </sheetData>
  <mergeCells count="1">
    <mergeCell ref="A1:B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1"/>
  <sheetViews>
    <sheetView zoomScale="85" zoomScaleNormal="85" workbookViewId="0">
      <selection activeCell="E40" sqref="E40"/>
    </sheetView>
  </sheetViews>
  <sheetFormatPr defaultColWidth="8.61261261261261" defaultRowHeight="14.1"/>
  <cols>
    <col min="1" max="1" width="20.7117117117117" customWidth="1"/>
    <col min="2" max="3" width="7.46846846846847" customWidth="1"/>
    <col min="4" max="4" width="4.46846846846847" style="25" customWidth="1"/>
    <col min="5" max="5" width="36.6306306306306" customWidth="1"/>
    <col min="6" max="6" width="5.46846846846847" customWidth="1"/>
    <col min="7" max="7" width="11.7027027027027" customWidth="1"/>
    <col min="8" max="8" width="13.9369369369369" customWidth="1"/>
    <col min="9" max="9" width="10.5495495495495" customWidth="1"/>
    <col min="10" max="10" width="20.7117117117117" customWidth="1"/>
    <col min="11" max="11" width="21.8648648648649" customWidth="1"/>
  </cols>
  <sheetData>
    <row r="1" spans="1:13">
      <c r="A1" s="16" t="s">
        <v>5</v>
      </c>
      <c r="B1" s="16"/>
      <c r="C1" s="16"/>
      <c r="D1" s="26"/>
      <c r="E1" s="16"/>
      <c r="F1" s="16"/>
      <c r="G1" s="16"/>
      <c r="H1" s="16"/>
      <c r="I1" s="16"/>
      <c r="J1" s="16"/>
      <c r="K1" s="16"/>
      <c r="L1" s="16"/>
      <c r="M1" s="16"/>
    </row>
    <row r="2" spans="1:13">
      <c r="A2" s="17" t="s">
        <v>6</v>
      </c>
      <c r="B2" s="17" t="s">
        <v>7</v>
      </c>
      <c r="C2" s="17" t="s">
        <v>8</v>
      </c>
      <c r="D2" s="27" t="s">
        <v>9</v>
      </c>
      <c r="E2" s="17" t="s">
        <v>10</v>
      </c>
      <c r="F2" s="17" t="s">
        <v>11</v>
      </c>
      <c r="G2" s="17" t="s">
        <v>12</v>
      </c>
      <c r="H2" s="17" t="s">
        <v>13</v>
      </c>
      <c r="I2" s="17" t="s">
        <v>14</v>
      </c>
      <c r="J2" s="17" t="s">
        <v>15</v>
      </c>
      <c r="K2" s="17" t="s">
        <v>16</v>
      </c>
      <c r="L2" s="8" t="s">
        <v>17</v>
      </c>
      <c r="M2" s="8" t="s">
        <v>18</v>
      </c>
    </row>
    <row r="3" spans="1:13">
      <c r="A3" s="18" t="s">
        <v>19</v>
      </c>
      <c r="B3" s="18" t="s">
        <v>20</v>
      </c>
      <c r="C3" s="18" t="s">
        <v>21</v>
      </c>
      <c r="D3" s="31" t="s">
        <v>22</v>
      </c>
      <c r="E3" s="18" t="s">
        <v>23</v>
      </c>
      <c r="F3" s="18">
        <v>4</v>
      </c>
      <c r="G3" s="18">
        <v>1</v>
      </c>
      <c r="H3" s="18"/>
      <c r="I3" s="18"/>
      <c r="J3" s="18" t="s">
        <v>24</v>
      </c>
      <c r="K3" s="18" t="s">
        <v>25</v>
      </c>
      <c r="L3" s="8" t="s">
        <v>26</v>
      </c>
      <c r="M3" s="8" t="s">
        <v>27</v>
      </c>
    </row>
    <row r="4" spans="1:13">
      <c r="A4" s="18" t="s">
        <v>28</v>
      </c>
      <c r="B4" s="18" t="s">
        <v>29</v>
      </c>
      <c r="C4" s="18" t="s">
        <v>21</v>
      </c>
      <c r="D4" s="31" t="s">
        <v>30</v>
      </c>
      <c r="E4" s="18" t="s">
        <v>23</v>
      </c>
      <c r="F4" s="18">
        <v>4</v>
      </c>
      <c r="G4" s="18">
        <v>2</v>
      </c>
      <c r="H4" s="19" t="s">
        <v>31</v>
      </c>
      <c r="I4" s="19" t="s">
        <v>32</v>
      </c>
      <c r="J4" s="18" t="s">
        <v>24</v>
      </c>
      <c r="K4" s="18" t="s">
        <v>33</v>
      </c>
      <c r="L4" s="8" t="s">
        <v>26</v>
      </c>
      <c r="M4" s="8" t="s">
        <v>27</v>
      </c>
    </row>
    <row r="5" spans="1:13">
      <c r="A5" s="18" t="s">
        <v>34</v>
      </c>
      <c r="B5" s="18" t="s">
        <v>35</v>
      </c>
      <c r="C5" s="18" t="s">
        <v>36</v>
      </c>
      <c r="D5" s="31" t="s">
        <v>37</v>
      </c>
      <c r="E5" s="18" t="s">
        <v>38</v>
      </c>
      <c r="F5" s="18">
        <v>5</v>
      </c>
      <c r="G5" s="18">
        <v>1</v>
      </c>
      <c r="H5" s="19"/>
      <c r="I5" s="19"/>
      <c r="J5" s="18" t="s">
        <v>24</v>
      </c>
      <c r="K5" s="18" t="s">
        <v>25</v>
      </c>
      <c r="L5" s="8" t="s">
        <v>39</v>
      </c>
      <c r="M5" s="8" t="s">
        <v>40</v>
      </c>
    </row>
    <row r="6" spans="1:13">
      <c r="A6" s="18" t="s">
        <v>41</v>
      </c>
      <c r="B6" s="18" t="s">
        <v>35</v>
      </c>
      <c r="C6" s="18" t="s">
        <v>42</v>
      </c>
      <c r="D6" s="31" t="s">
        <v>43</v>
      </c>
      <c r="E6" s="18" t="s">
        <v>38</v>
      </c>
      <c r="F6" s="18">
        <v>5</v>
      </c>
      <c r="G6" s="18">
        <v>1</v>
      </c>
      <c r="H6" s="18"/>
      <c r="I6" s="18"/>
      <c r="J6" s="18" t="s">
        <v>24</v>
      </c>
      <c r="K6" s="18" t="s">
        <v>25</v>
      </c>
      <c r="L6" s="8" t="s">
        <v>39</v>
      </c>
      <c r="M6" s="8" t="s">
        <v>40</v>
      </c>
    </row>
    <row r="7" spans="1:13">
      <c r="A7" s="18" t="s">
        <v>44</v>
      </c>
      <c r="B7" s="18" t="s">
        <v>45</v>
      </c>
      <c r="C7" s="18" t="s">
        <v>42</v>
      </c>
      <c r="D7" s="31" t="s">
        <v>46</v>
      </c>
      <c r="E7" s="18" t="s">
        <v>47</v>
      </c>
      <c r="F7" s="18">
        <v>8</v>
      </c>
      <c r="G7" s="18">
        <v>2</v>
      </c>
      <c r="H7" s="19">
        <v>94084</v>
      </c>
      <c r="I7" s="19" t="s">
        <v>48</v>
      </c>
      <c r="J7" s="18" t="s">
        <v>24</v>
      </c>
      <c r="K7" s="18" t="s">
        <v>33</v>
      </c>
      <c r="L7" s="8" t="s">
        <v>49</v>
      </c>
      <c r="M7" s="8" t="s">
        <v>50</v>
      </c>
    </row>
    <row r="8" spans="1:13">
      <c r="A8" s="18" t="s">
        <v>51</v>
      </c>
      <c r="B8" s="18" t="s">
        <v>20</v>
      </c>
      <c r="C8" s="18" t="s">
        <v>42</v>
      </c>
      <c r="D8" s="31" t="s">
        <v>52</v>
      </c>
      <c r="E8" s="18" t="s">
        <v>47</v>
      </c>
      <c r="F8" s="18">
        <v>8</v>
      </c>
      <c r="G8" s="18">
        <v>1</v>
      </c>
      <c r="H8" s="18"/>
      <c r="I8" s="18"/>
      <c r="J8" s="18" t="s">
        <v>24</v>
      </c>
      <c r="K8" s="18" t="s">
        <v>25</v>
      </c>
      <c r="L8" s="8" t="s">
        <v>49</v>
      </c>
      <c r="M8" s="8" t="s">
        <v>50</v>
      </c>
    </row>
    <row r="9" spans="1:13">
      <c r="A9" s="18" t="s">
        <v>53</v>
      </c>
      <c r="B9" s="18" t="s">
        <v>29</v>
      </c>
      <c r="C9" s="18" t="s">
        <v>42</v>
      </c>
      <c r="D9" s="31" t="s">
        <v>54</v>
      </c>
      <c r="E9" s="18" t="s">
        <v>47</v>
      </c>
      <c r="F9" s="18">
        <v>8</v>
      </c>
      <c r="G9" s="18">
        <v>1</v>
      </c>
      <c r="H9" s="19"/>
      <c r="I9" s="19"/>
      <c r="J9" s="18" t="s">
        <v>24</v>
      </c>
      <c r="K9" s="18" t="s">
        <v>25</v>
      </c>
      <c r="L9" s="8" t="s">
        <v>49</v>
      </c>
      <c r="M9" s="8" t="s">
        <v>50</v>
      </c>
    </row>
    <row r="10" spans="1:13">
      <c r="A10" s="18" t="s">
        <v>34</v>
      </c>
      <c r="B10" s="18" t="s">
        <v>35</v>
      </c>
      <c r="C10" s="18" t="s">
        <v>36</v>
      </c>
      <c r="D10" s="31" t="s">
        <v>37</v>
      </c>
      <c r="E10" s="18" t="s">
        <v>47</v>
      </c>
      <c r="F10" s="18">
        <v>8</v>
      </c>
      <c r="G10" s="18">
        <v>1</v>
      </c>
      <c r="H10" s="19"/>
      <c r="I10" s="19"/>
      <c r="J10" s="18" t="s">
        <v>24</v>
      </c>
      <c r="K10" s="18" t="s">
        <v>55</v>
      </c>
      <c r="L10" s="8" t="s">
        <v>49</v>
      </c>
      <c r="M10" s="8" t="s">
        <v>50</v>
      </c>
    </row>
    <row r="11" spans="1:13">
      <c r="A11" s="18" t="s">
        <v>56</v>
      </c>
      <c r="B11" s="18" t="s">
        <v>45</v>
      </c>
      <c r="C11" s="18" t="s">
        <v>21</v>
      </c>
      <c r="D11" s="31" t="s">
        <v>57</v>
      </c>
      <c r="E11" s="18" t="s">
        <v>58</v>
      </c>
      <c r="F11" s="18">
        <v>9</v>
      </c>
      <c r="G11" s="18">
        <v>2</v>
      </c>
      <c r="H11" s="18" t="s">
        <v>59</v>
      </c>
      <c r="I11" s="18" t="s">
        <v>32</v>
      </c>
      <c r="J11" s="18" t="s">
        <v>24</v>
      </c>
      <c r="K11" s="18" t="s">
        <v>33</v>
      </c>
      <c r="L11" s="8" t="s">
        <v>49</v>
      </c>
      <c r="M11" s="8" t="s">
        <v>50</v>
      </c>
    </row>
    <row r="12" spans="1:13">
      <c r="A12" s="18" t="s">
        <v>19</v>
      </c>
      <c r="B12" s="18" t="s">
        <v>20</v>
      </c>
      <c r="C12" s="18" t="s">
        <v>21</v>
      </c>
      <c r="D12" s="31" t="s">
        <v>22</v>
      </c>
      <c r="E12" s="18" t="s">
        <v>58</v>
      </c>
      <c r="F12" s="18">
        <v>9</v>
      </c>
      <c r="G12" s="18">
        <v>1</v>
      </c>
      <c r="H12" s="18"/>
      <c r="I12" s="18"/>
      <c r="J12" s="18" t="s">
        <v>24</v>
      </c>
      <c r="K12" s="18" t="s">
        <v>25</v>
      </c>
      <c r="L12" s="8" t="s">
        <v>49</v>
      </c>
      <c r="M12" s="8" t="s">
        <v>50</v>
      </c>
    </row>
    <row r="13" spans="1:13">
      <c r="A13" s="18" t="s">
        <v>51</v>
      </c>
      <c r="B13" s="18" t="s">
        <v>20</v>
      </c>
      <c r="C13" s="18" t="s">
        <v>42</v>
      </c>
      <c r="D13" s="31" t="s">
        <v>52</v>
      </c>
      <c r="E13" s="18" t="s">
        <v>58</v>
      </c>
      <c r="F13" s="18">
        <v>9</v>
      </c>
      <c r="G13" s="18">
        <v>1</v>
      </c>
      <c r="H13" s="18"/>
      <c r="I13" s="18"/>
      <c r="J13" s="18" t="s">
        <v>24</v>
      </c>
      <c r="K13" s="18" t="s">
        <v>55</v>
      </c>
      <c r="L13" s="8" t="s">
        <v>49</v>
      </c>
      <c r="M13" s="8" t="s">
        <v>50</v>
      </c>
    </row>
    <row r="14" spans="1:13">
      <c r="A14" s="18" t="s">
        <v>60</v>
      </c>
      <c r="B14" s="18" t="s">
        <v>35</v>
      </c>
      <c r="C14" s="18" t="s">
        <v>61</v>
      </c>
      <c r="D14" s="31" t="s">
        <v>62</v>
      </c>
      <c r="E14" s="18" t="s">
        <v>63</v>
      </c>
      <c r="F14" s="18">
        <v>11</v>
      </c>
      <c r="G14" s="18">
        <v>1</v>
      </c>
      <c r="H14" s="18"/>
      <c r="I14" s="18"/>
      <c r="J14" s="18" t="s">
        <v>24</v>
      </c>
      <c r="K14" s="18" t="s">
        <v>25</v>
      </c>
      <c r="L14" s="8" t="s">
        <v>49</v>
      </c>
      <c r="M14" s="8" t="s">
        <v>50</v>
      </c>
    </row>
    <row r="15" spans="1:13">
      <c r="A15" s="18" t="s">
        <v>64</v>
      </c>
      <c r="B15" s="18" t="s">
        <v>45</v>
      </c>
      <c r="C15" s="18" t="s">
        <v>36</v>
      </c>
      <c r="D15" s="31" t="s">
        <v>65</v>
      </c>
      <c r="E15" s="18" t="s">
        <v>66</v>
      </c>
      <c r="F15" s="18">
        <v>12</v>
      </c>
      <c r="G15" s="18">
        <v>2</v>
      </c>
      <c r="H15" s="19">
        <v>11109</v>
      </c>
      <c r="I15" s="19" t="s">
        <v>32</v>
      </c>
      <c r="J15" s="18" t="s">
        <v>24</v>
      </c>
      <c r="K15" s="18" t="s">
        <v>33</v>
      </c>
      <c r="L15" s="8" t="s">
        <v>67</v>
      </c>
      <c r="M15" s="8" t="s">
        <v>68</v>
      </c>
    </row>
    <row r="16" spans="1:13">
      <c r="A16" s="18" t="s">
        <v>69</v>
      </c>
      <c r="B16" s="18" t="s">
        <v>20</v>
      </c>
      <c r="C16" s="18" t="s">
        <v>61</v>
      </c>
      <c r="D16" s="31" t="s">
        <v>70</v>
      </c>
      <c r="E16" s="18" t="s">
        <v>71</v>
      </c>
      <c r="F16" s="18">
        <v>14</v>
      </c>
      <c r="G16" s="18">
        <v>2</v>
      </c>
      <c r="H16" s="18" t="s">
        <v>72</v>
      </c>
      <c r="I16" s="18" t="s">
        <v>48</v>
      </c>
      <c r="J16" s="18" t="s">
        <v>24</v>
      </c>
      <c r="K16" s="18" t="s">
        <v>33</v>
      </c>
      <c r="L16" s="8" t="s">
        <v>73</v>
      </c>
      <c r="M16" s="8" t="s">
        <v>74</v>
      </c>
    </row>
    <row r="17" spans="1:13">
      <c r="A17" s="18" t="s">
        <v>75</v>
      </c>
      <c r="B17" s="18" t="s">
        <v>20</v>
      </c>
      <c r="C17" s="18" t="s">
        <v>36</v>
      </c>
      <c r="D17" s="31" t="s">
        <v>76</v>
      </c>
      <c r="E17" s="18" t="s">
        <v>71</v>
      </c>
      <c r="F17" s="18">
        <v>14</v>
      </c>
      <c r="G17" s="18">
        <v>1</v>
      </c>
      <c r="H17" s="18"/>
      <c r="I17" s="18"/>
      <c r="J17" s="18" t="s">
        <v>24</v>
      </c>
      <c r="K17" s="18" t="s">
        <v>55</v>
      </c>
      <c r="L17" s="8" t="s">
        <v>73</v>
      </c>
      <c r="M17" s="8" t="s">
        <v>74</v>
      </c>
    </row>
    <row r="18" spans="1:13">
      <c r="A18" s="18" t="s">
        <v>77</v>
      </c>
      <c r="B18" s="18" t="s">
        <v>29</v>
      </c>
      <c r="C18" s="18" t="s">
        <v>61</v>
      </c>
      <c r="D18" s="31" t="s">
        <v>78</v>
      </c>
      <c r="E18" s="18" t="s">
        <v>71</v>
      </c>
      <c r="F18" s="18">
        <v>14</v>
      </c>
      <c r="G18" s="18">
        <v>2</v>
      </c>
      <c r="H18" s="19">
        <v>75768</v>
      </c>
      <c r="I18" s="19" t="s">
        <v>48</v>
      </c>
      <c r="J18" s="18" t="s">
        <v>24</v>
      </c>
      <c r="K18" s="18" t="s">
        <v>33</v>
      </c>
      <c r="L18" s="8" t="s">
        <v>73</v>
      </c>
      <c r="M18" s="8" t="s">
        <v>74</v>
      </c>
    </row>
    <row r="19" spans="1:13">
      <c r="A19" s="18" t="s">
        <v>51</v>
      </c>
      <c r="B19" s="18" t="s">
        <v>20</v>
      </c>
      <c r="C19" s="18" t="s">
        <v>42</v>
      </c>
      <c r="D19" s="31" t="s">
        <v>52</v>
      </c>
      <c r="E19" s="18" t="s">
        <v>79</v>
      </c>
      <c r="F19" s="18">
        <v>15</v>
      </c>
      <c r="G19" s="18">
        <v>1</v>
      </c>
      <c r="H19" s="18"/>
      <c r="I19" s="18"/>
      <c r="J19" s="18" t="s">
        <v>24</v>
      </c>
      <c r="K19" s="18" t="s">
        <v>25</v>
      </c>
      <c r="L19" s="8" t="s">
        <v>73</v>
      </c>
      <c r="M19" s="8" t="s">
        <v>74</v>
      </c>
    </row>
    <row r="20" spans="1:13">
      <c r="A20" s="18" t="s">
        <v>64</v>
      </c>
      <c r="B20" s="18" t="s">
        <v>45</v>
      </c>
      <c r="C20" s="18" t="s">
        <v>36</v>
      </c>
      <c r="D20" s="31" t="s">
        <v>65</v>
      </c>
      <c r="E20" s="18" t="s">
        <v>80</v>
      </c>
      <c r="F20" s="18">
        <v>20</v>
      </c>
      <c r="G20" s="18">
        <v>1</v>
      </c>
      <c r="H20" s="18"/>
      <c r="I20" s="18"/>
      <c r="J20" s="18" t="s">
        <v>24</v>
      </c>
      <c r="K20" s="18" t="s">
        <v>25</v>
      </c>
      <c r="L20" s="8" t="s">
        <v>81</v>
      </c>
      <c r="M20" s="8" t="s">
        <v>82</v>
      </c>
    </row>
    <row r="21" spans="1:13">
      <c r="A21" s="18" t="s">
        <v>44</v>
      </c>
      <c r="B21" s="18" t="s">
        <v>45</v>
      </c>
      <c r="C21" s="18" t="s">
        <v>42</v>
      </c>
      <c r="D21" s="31" t="s">
        <v>46</v>
      </c>
      <c r="E21" s="18" t="s">
        <v>80</v>
      </c>
      <c r="F21" s="18">
        <v>20</v>
      </c>
      <c r="G21" s="18">
        <v>1</v>
      </c>
      <c r="H21" s="18"/>
      <c r="I21" s="18"/>
      <c r="J21" s="18" t="s">
        <v>24</v>
      </c>
      <c r="K21" s="18" t="s">
        <v>25</v>
      </c>
      <c r="L21" s="8" t="s">
        <v>81</v>
      </c>
      <c r="M21" s="8" t="s">
        <v>82</v>
      </c>
    </row>
    <row r="22" spans="1:13">
      <c r="A22" s="18" t="s">
        <v>75</v>
      </c>
      <c r="B22" s="18" t="s">
        <v>20</v>
      </c>
      <c r="C22" s="18" t="s">
        <v>36</v>
      </c>
      <c r="D22" s="31" t="s">
        <v>76</v>
      </c>
      <c r="E22" s="18" t="s">
        <v>80</v>
      </c>
      <c r="F22" s="18">
        <v>20</v>
      </c>
      <c r="G22" s="18">
        <v>1</v>
      </c>
      <c r="H22" s="18"/>
      <c r="I22" s="18"/>
      <c r="J22" s="18" t="s">
        <v>24</v>
      </c>
      <c r="K22" s="18" t="s">
        <v>25</v>
      </c>
      <c r="L22" s="8" t="s">
        <v>81</v>
      </c>
      <c r="M22" s="8" t="s">
        <v>82</v>
      </c>
    </row>
    <row r="23" spans="1:13">
      <c r="A23" s="18" t="s">
        <v>51</v>
      </c>
      <c r="B23" s="18" t="s">
        <v>20</v>
      </c>
      <c r="C23" s="18" t="s">
        <v>42</v>
      </c>
      <c r="D23" s="31" t="s">
        <v>52</v>
      </c>
      <c r="E23" s="18" t="s">
        <v>80</v>
      </c>
      <c r="F23" s="18">
        <v>20</v>
      </c>
      <c r="G23" s="18">
        <v>1</v>
      </c>
      <c r="H23" s="18"/>
      <c r="I23" s="18"/>
      <c r="J23" s="18" t="s">
        <v>24</v>
      </c>
      <c r="K23" s="18" t="s">
        <v>25</v>
      </c>
      <c r="L23" s="8" t="s">
        <v>81</v>
      </c>
      <c r="M23" s="8" t="s">
        <v>82</v>
      </c>
    </row>
    <row r="24" spans="1:13">
      <c r="A24" s="18" t="s">
        <v>83</v>
      </c>
      <c r="B24" s="18" t="s">
        <v>29</v>
      </c>
      <c r="C24" s="18" t="s">
        <v>36</v>
      </c>
      <c r="D24" s="31" t="s">
        <v>84</v>
      </c>
      <c r="E24" s="8" t="s">
        <v>80</v>
      </c>
      <c r="F24" s="8">
        <v>20</v>
      </c>
      <c r="G24" s="8">
        <v>1</v>
      </c>
      <c r="H24" s="8"/>
      <c r="I24" s="8"/>
      <c r="J24" s="8" t="s">
        <v>24</v>
      </c>
      <c r="K24" s="8" t="s">
        <v>55</v>
      </c>
      <c r="L24" s="8" t="s">
        <v>81</v>
      </c>
      <c r="M24" s="8" t="s">
        <v>82</v>
      </c>
    </row>
    <row r="25" spans="1:13">
      <c r="A25" s="18" t="s">
        <v>53</v>
      </c>
      <c r="B25" s="18" t="s">
        <v>29</v>
      </c>
      <c r="C25" s="18" t="s">
        <v>42</v>
      </c>
      <c r="D25" s="31" t="s">
        <v>54</v>
      </c>
      <c r="E25" s="18" t="s">
        <v>80</v>
      </c>
      <c r="F25" s="18">
        <v>20</v>
      </c>
      <c r="G25" s="18">
        <v>1</v>
      </c>
      <c r="H25" s="18"/>
      <c r="I25" s="18"/>
      <c r="J25" s="18" t="s">
        <v>24</v>
      </c>
      <c r="K25" s="18" t="s">
        <v>25</v>
      </c>
      <c r="L25" s="8" t="s">
        <v>81</v>
      </c>
      <c r="M25" s="8" t="s">
        <v>82</v>
      </c>
    </row>
    <row r="26" spans="1:13">
      <c r="A26" s="18" t="s">
        <v>41</v>
      </c>
      <c r="B26" s="18" t="s">
        <v>35</v>
      </c>
      <c r="C26" s="18" t="s">
        <v>42</v>
      </c>
      <c r="D26" s="31" t="s">
        <v>43</v>
      </c>
      <c r="E26" s="18" t="s">
        <v>80</v>
      </c>
      <c r="F26" s="18">
        <v>20</v>
      </c>
      <c r="G26" s="18">
        <v>1</v>
      </c>
      <c r="H26" s="19"/>
      <c r="I26" s="19"/>
      <c r="J26" s="18" t="s">
        <v>24</v>
      </c>
      <c r="K26" s="18" t="s">
        <v>55</v>
      </c>
      <c r="L26" s="8" t="s">
        <v>81</v>
      </c>
      <c r="M26" s="8" t="s">
        <v>82</v>
      </c>
    </row>
    <row r="27" spans="1:13">
      <c r="A27" s="18" t="s">
        <v>28</v>
      </c>
      <c r="B27" s="18" t="s">
        <v>29</v>
      </c>
      <c r="C27" s="18" t="s">
        <v>21</v>
      </c>
      <c r="D27" s="31" t="s">
        <v>30</v>
      </c>
      <c r="E27" s="18" t="s">
        <v>85</v>
      </c>
      <c r="F27" s="18">
        <v>22</v>
      </c>
      <c r="G27" s="18">
        <v>1</v>
      </c>
      <c r="H27" s="18"/>
      <c r="I27" s="18"/>
      <c r="J27" s="18" t="s">
        <v>24</v>
      </c>
      <c r="K27" s="18" t="s">
        <v>25</v>
      </c>
      <c r="L27" s="8" t="s">
        <v>86</v>
      </c>
      <c r="M27" s="8" t="s">
        <v>87</v>
      </c>
    </row>
    <row r="28" spans="1:13">
      <c r="A28" s="18" t="s">
        <v>88</v>
      </c>
      <c r="B28" s="18" t="s">
        <v>35</v>
      </c>
      <c r="C28" s="18" t="s">
        <v>21</v>
      </c>
      <c r="D28" s="31" t="s">
        <v>89</v>
      </c>
      <c r="E28" s="18" t="s">
        <v>85</v>
      </c>
      <c r="F28" s="18">
        <v>22</v>
      </c>
      <c r="G28" s="18">
        <v>1</v>
      </c>
      <c r="H28" s="19"/>
      <c r="I28" s="19"/>
      <c r="J28" s="18" t="s">
        <v>24</v>
      </c>
      <c r="K28" s="18" t="s">
        <v>55</v>
      </c>
      <c r="L28" s="8" t="s">
        <v>86</v>
      </c>
      <c r="M28" s="8" t="s">
        <v>87</v>
      </c>
    </row>
    <row r="29" spans="1:13">
      <c r="A29" s="18" t="s">
        <v>90</v>
      </c>
      <c r="B29" s="18" t="s">
        <v>45</v>
      </c>
      <c r="C29" s="18" t="s">
        <v>61</v>
      </c>
      <c r="D29" s="31" t="s">
        <v>91</v>
      </c>
      <c r="E29" s="18" t="s">
        <v>92</v>
      </c>
      <c r="F29" s="18">
        <v>23</v>
      </c>
      <c r="G29" s="18">
        <v>1</v>
      </c>
      <c r="H29" s="18"/>
      <c r="I29" s="18"/>
      <c r="J29" s="18" t="s">
        <v>24</v>
      </c>
      <c r="K29" s="18" t="s">
        <v>55</v>
      </c>
      <c r="L29" s="8" t="s">
        <v>49</v>
      </c>
      <c r="M29" s="8" t="s">
        <v>50</v>
      </c>
    </row>
    <row r="30" spans="1:13">
      <c r="A30" s="18" t="s">
        <v>60</v>
      </c>
      <c r="B30" s="18" t="s">
        <v>35</v>
      </c>
      <c r="C30" s="18" t="s">
        <v>61</v>
      </c>
      <c r="D30" s="31" t="s">
        <v>62</v>
      </c>
      <c r="E30" s="18" t="s">
        <v>92</v>
      </c>
      <c r="F30" s="18">
        <v>23</v>
      </c>
      <c r="G30" s="18">
        <v>2</v>
      </c>
      <c r="H30" s="19">
        <v>22955</v>
      </c>
      <c r="I30" s="19" t="s">
        <v>32</v>
      </c>
      <c r="J30" s="18" t="s">
        <v>24</v>
      </c>
      <c r="K30" s="18" t="s">
        <v>33</v>
      </c>
      <c r="L30" s="8" t="s">
        <v>49</v>
      </c>
      <c r="M30" s="8" t="s">
        <v>50</v>
      </c>
    </row>
    <row r="31" spans="1:13">
      <c r="A31" s="18" t="s">
        <v>56</v>
      </c>
      <c r="B31" s="18" t="s">
        <v>45</v>
      </c>
      <c r="C31" s="18" t="s">
        <v>21</v>
      </c>
      <c r="D31" s="31" t="s">
        <v>57</v>
      </c>
      <c r="E31" s="18" t="s">
        <v>93</v>
      </c>
      <c r="F31" s="18">
        <v>27</v>
      </c>
      <c r="G31" s="18">
        <v>1</v>
      </c>
      <c r="H31" s="18"/>
      <c r="I31" s="18"/>
      <c r="J31" s="18" t="s">
        <v>24</v>
      </c>
      <c r="K31" s="18" t="s">
        <v>25</v>
      </c>
      <c r="L31" s="8" t="s">
        <v>39</v>
      </c>
      <c r="M31" s="8" t="s">
        <v>40</v>
      </c>
    </row>
    <row r="32" spans="1:13">
      <c r="A32" s="18" t="s">
        <v>19</v>
      </c>
      <c r="B32" s="18" t="s">
        <v>20</v>
      </c>
      <c r="C32" s="18" t="s">
        <v>21</v>
      </c>
      <c r="D32" s="31" t="s">
        <v>22</v>
      </c>
      <c r="E32" s="18" t="s">
        <v>93</v>
      </c>
      <c r="F32" s="18">
        <v>27</v>
      </c>
      <c r="G32" s="18">
        <v>1</v>
      </c>
      <c r="H32" s="18"/>
      <c r="I32" s="18"/>
      <c r="J32" s="18" t="s">
        <v>24</v>
      </c>
      <c r="K32" s="18" t="s">
        <v>25</v>
      </c>
      <c r="L32" s="8" t="s">
        <v>39</v>
      </c>
      <c r="M32" s="8" t="s">
        <v>40</v>
      </c>
    </row>
    <row r="33" spans="1:13">
      <c r="A33" s="18" t="s">
        <v>28</v>
      </c>
      <c r="B33" s="18" t="s">
        <v>29</v>
      </c>
      <c r="C33" s="18" t="s">
        <v>21</v>
      </c>
      <c r="D33" s="31" t="s">
        <v>30</v>
      </c>
      <c r="E33" s="18" t="s">
        <v>93</v>
      </c>
      <c r="F33" s="18">
        <v>27</v>
      </c>
      <c r="G33" s="18">
        <v>1</v>
      </c>
      <c r="H33" s="18"/>
      <c r="I33" s="18"/>
      <c r="J33" s="18" t="s">
        <v>24</v>
      </c>
      <c r="K33" s="18" t="s">
        <v>25</v>
      </c>
      <c r="L33" s="8" t="s">
        <v>39</v>
      </c>
      <c r="M33" s="8" t="s">
        <v>40</v>
      </c>
    </row>
    <row r="34" spans="1:13">
      <c r="A34" s="18" t="s">
        <v>90</v>
      </c>
      <c r="B34" s="18" t="s">
        <v>45</v>
      </c>
      <c r="C34" s="18" t="s">
        <v>61</v>
      </c>
      <c r="D34" s="31" t="s">
        <v>91</v>
      </c>
      <c r="E34" s="18" t="s">
        <v>94</v>
      </c>
      <c r="F34" s="18">
        <v>28</v>
      </c>
      <c r="G34" s="18">
        <v>1</v>
      </c>
      <c r="H34" s="18"/>
      <c r="I34" s="18"/>
      <c r="J34" s="18" t="s">
        <v>24</v>
      </c>
      <c r="K34" s="18" t="s">
        <v>55</v>
      </c>
      <c r="L34" s="8" t="s">
        <v>39</v>
      </c>
      <c r="M34" s="8" t="s">
        <v>40</v>
      </c>
    </row>
    <row r="35" spans="1:13">
      <c r="A35" s="18" t="s">
        <v>69</v>
      </c>
      <c r="B35" s="18" t="s">
        <v>20</v>
      </c>
      <c r="C35" s="18" t="s">
        <v>61</v>
      </c>
      <c r="D35" s="31" t="s">
        <v>70</v>
      </c>
      <c r="E35" s="18" t="s">
        <v>94</v>
      </c>
      <c r="F35" s="18">
        <v>28</v>
      </c>
      <c r="G35" s="18">
        <v>1</v>
      </c>
      <c r="H35" s="18"/>
      <c r="I35" s="18"/>
      <c r="J35" s="18" t="s">
        <v>24</v>
      </c>
      <c r="K35" s="18" t="s">
        <v>25</v>
      </c>
      <c r="L35" s="8" t="s">
        <v>39</v>
      </c>
      <c r="M35" s="8" t="s">
        <v>40</v>
      </c>
    </row>
    <row r="36" spans="1:13">
      <c r="A36" s="18" t="s">
        <v>75</v>
      </c>
      <c r="B36" s="18" t="s">
        <v>20</v>
      </c>
      <c r="C36" s="18" t="s">
        <v>36</v>
      </c>
      <c r="D36" s="31" t="s">
        <v>76</v>
      </c>
      <c r="E36" s="18" t="s">
        <v>94</v>
      </c>
      <c r="F36" s="18">
        <v>28</v>
      </c>
      <c r="G36" s="18">
        <v>1</v>
      </c>
      <c r="H36" s="18"/>
      <c r="I36" s="18"/>
      <c r="J36" s="18" t="s">
        <v>24</v>
      </c>
      <c r="K36" s="18" t="s">
        <v>55</v>
      </c>
      <c r="L36" s="8" t="s">
        <v>39</v>
      </c>
      <c r="M36" s="8" t="s">
        <v>40</v>
      </c>
    </row>
    <row r="37" spans="1:13">
      <c r="A37" s="18" t="s">
        <v>77</v>
      </c>
      <c r="B37" s="18" t="s">
        <v>29</v>
      </c>
      <c r="C37" s="18" t="s">
        <v>61</v>
      </c>
      <c r="D37" s="31" t="s">
        <v>78</v>
      </c>
      <c r="E37" s="18" t="s">
        <v>94</v>
      </c>
      <c r="F37" s="18">
        <v>28</v>
      </c>
      <c r="G37" s="18">
        <v>1</v>
      </c>
      <c r="H37" s="18"/>
      <c r="I37" s="18"/>
      <c r="J37" s="18" t="s">
        <v>24</v>
      </c>
      <c r="K37" s="18" t="s">
        <v>55</v>
      </c>
      <c r="L37" s="8" t="s">
        <v>39</v>
      </c>
      <c r="M37" s="8" t="s">
        <v>40</v>
      </c>
    </row>
    <row r="38" spans="1:13">
      <c r="A38" s="18" t="s">
        <v>83</v>
      </c>
      <c r="B38" s="18" t="s">
        <v>29</v>
      </c>
      <c r="C38" s="18" t="s">
        <v>36</v>
      </c>
      <c r="D38" s="31" t="s">
        <v>84</v>
      </c>
      <c r="E38" s="8" t="s">
        <v>94</v>
      </c>
      <c r="F38" s="8">
        <v>28</v>
      </c>
      <c r="G38" s="8">
        <v>1</v>
      </c>
      <c r="H38" s="8"/>
      <c r="I38" s="8"/>
      <c r="J38" s="8" t="s">
        <v>24</v>
      </c>
      <c r="K38" s="8" t="s">
        <v>55</v>
      </c>
      <c r="L38" s="8" t="s">
        <v>39</v>
      </c>
      <c r="M38" s="8" t="s">
        <v>40</v>
      </c>
    </row>
    <row r="39" spans="1:13">
      <c r="A39" s="18" t="s">
        <v>53</v>
      </c>
      <c r="B39" s="18" t="s">
        <v>29</v>
      </c>
      <c r="C39" s="18" t="s">
        <v>42</v>
      </c>
      <c r="D39" s="31" t="s">
        <v>54</v>
      </c>
      <c r="E39" s="18" t="s">
        <v>94</v>
      </c>
      <c r="F39" s="18">
        <v>28</v>
      </c>
      <c r="G39" s="18">
        <v>1</v>
      </c>
      <c r="H39" s="19"/>
      <c r="I39" s="19"/>
      <c r="J39" s="18" t="s">
        <v>24</v>
      </c>
      <c r="K39" s="18" t="s">
        <v>25</v>
      </c>
      <c r="L39" s="8" t="s">
        <v>39</v>
      </c>
      <c r="M39" s="8" t="s">
        <v>40</v>
      </c>
    </row>
    <row r="40" spans="1:13">
      <c r="A40" s="18" t="s">
        <v>60</v>
      </c>
      <c r="B40" s="18" t="s">
        <v>35</v>
      </c>
      <c r="C40" s="18" t="s">
        <v>61</v>
      </c>
      <c r="D40" s="31" t="s">
        <v>62</v>
      </c>
      <c r="E40" s="18" t="s">
        <v>94</v>
      </c>
      <c r="F40" s="18">
        <v>28</v>
      </c>
      <c r="G40" s="18">
        <v>1</v>
      </c>
      <c r="H40" s="19"/>
      <c r="I40" s="19"/>
      <c r="J40" s="18" t="s">
        <v>24</v>
      </c>
      <c r="K40" s="18" t="s">
        <v>55</v>
      </c>
      <c r="L40" s="8" t="s">
        <v>39</v>
      </c>
      <c r="M40" s="8" t="s">
        <v>40</v>
      </c>
    </row>
    <row r="41" spans="1:13">
      <c r="A41" s="18" t="s">
        <v>90</v>
      </c>
      <c r="B41" s="18" t="s">
        <v>45</v>
      </c>
      <c r="C41" s="18" t="s">
        <v>61</v>
      </c>
      <c r="D41" s="31" t="s">
        <v>91</v>
      </c>
      <c r="E41" s="18" t="s">
        <v>95</v>
      </c>
      <c r="F41" s="18">
        <v>33</v>
      </c>
      <c r="G41" s="18">
        <v>2</v>
      </c>
      <c r="H41" s="18">
        <v>44172</v>
      </c>
      <c r="I41" s="18" t="s">
        <v>48</v>
      </c>
      <c r="J41" s="18" t="s">
        <v>24</v>
      </c>
      <c r="K41" s="18" t="s">
        <v>33</v>
      </c>
      <c r="L41" s="8" t="s">
        <v>96</v>
      </c>
      <c r="M41" s="8" t="s">
        <v>97</v>
      </c>
    </row>
    <row r="42" spans="1:13">
      <c r="A42" s="18" t="s">
        <v>19</v>
      </c>
      <c r="B42" s="18" t="s">
        <v>20</v>
      </c>
      <c r="C42" s="18" t="s">
        <v>21</v>
      </c>
      <c r="D42" s="31" t="s">
        <v>22</v>
      </c>
      <c r="E42" s="18" t="s">
        <v>95</v>
      </c>
      <c r="F42" s="18">
        <v>33</v>
      </c>
      <c r="G42" s="18">
        <v>2</v>
      </c>
      <c r="H42" s="18" t="s">
        <v>72</v>
      </c>
      <c r="I42" s="18" t="s">
        <v>48</v>
      </c>
      <c r="J42" s="18" t="s">
        <v>24</v>
      </c>
      <c r="K42" s="18" t="s">
        <v>33</v>
      </c>
      <c r="L42" s="8" t="s">
        <v>96</v>
      </c>
      <c r="M42" s="8" t="s">
        <v>97</v>
      </c>
    </row>
    <row r="43" spans="1:13">
      <c r="A43" s="18" t="s">
        <v>51</v>
      </c>
      <c r="B43" s="18" t="s">
        <v>20</v>
      </c>
      <c r="C43" s="18" t="s">
        <v>42</v>
      </c>
      <c r="D43" s="31" t="s">
        <v>52</v>
      </c>
      <c r="E43" s="18" t="s">
        <v>95</v>
      </c>
      <c r="F43" s="18">
        <v>33</v>
      </c>
      <c r="G43" s="18">
        <v>1</v>
      </c>
      <c r="H43" s="18"/>
      <c r="I43" s="18"/>
      <c r="J43" s="18" t="s">
        <v>24</v>
      </c>
      <c r="K43" s="18" t="s">
        <v>55</v>
      </c>
      <c r="L43" s="8" t="s">
        <v>96</v>
      </c>
      <c r="M43" s="8" t="s">
        <v>97</v>
      </c>
    </row>
    <row r="44" spans="1:13">
      <c r="A44" s="18" t="s">
        <v>28</v>
      </c>
      <c r="B44" s="18" t="s">
        <v>29</v>
      </c>
      <c r="C44" s="18" t="s">
        <v>21</v>
      </c>
      <c r="D44" s="31" t="s">
        <v>30</v>
      </c>
      <c r="E44" s="18" t="s">
        <v>95</v>
      </c>
      <c r="F44" s="18">
        <v>33</v>
      </c>
      <c r="G44" s="18">
        <v>1</v>
      </c>
      <c r="H44" s="18"/>
      <c r="I44" s="18"/>
      <c r="J44" s="18" t="s">
        <v>24</v>
      </c>
      <c r="K44" s="18" t="s">
        <v>55</v>
      </c>
      <c r="L44" s="8" t="s">
        <v>96</v>
      </c>
      <c r="M44" s="8" t="s">
        <v>97</v>
      </c>
    </row>
    <row r="45" spans="1:13">
      <c r="A45" s="18" t="s">
        <v>77</v>
      </c>
      <c r="B45" s="18" t="s">
        <v>29</v>
      </c>
      <c r="C45" s="18" t="s">
        <v>61</v>
      </c>
      <c r="D45" s="31" t="s">
        <v>78</v>
      </c>
      <c r="E45" s="18" t="s">
        <v>95</v>
      </c>
      <c r="F45" s="18">
        <v>33</v>
      </c>
      <c r="G45" s="18">
        <v>2</v>
      </c>
      <c r="H45" s="19">
        <v>32660</v>
      </c>
      <c r="I45" s="19" t="s">
        <v>48</v>
      </c>
      <c r="J45" s="18" t="s">
        <v>24</v>
      </c>
      <c r="K45" s="18" t="s">
        <v>33</v>
      </c>
      <c r="L45" s="8" t="s">
        <v>96</v>
      </c>
      <c r="M45" s="8" t="s">
        <v>97</v>
      </c>
    </row>
    <row r="46" spans="1:13">
      <c r="A46" s="18" t="s">
        <v>83</v>
      </c>
      <c r="B46" s="18" t="s">
        <v>29</v>
      </c>
      <c r="C46" s="18" t="s">
        <v>36</v>
      </c>
      <c r="D46" s="31" t="s">
        <v>84</v>
      </c>
      <c r="E46" s="8" t="s">
        <v>95</v>
      </c>
      <c r="F46" s="8">
        <v>33</v>
      </c>
      <c r="G46" s="8">
        <v>2</v>
      </c>
      <c r="H46" s="8" t="s">
        <v>31</v>
      </c>
      <c r="I46" s="8" t="s">
        <v>48</v>
      </c>
      <c r="J46" s="8" t="s">
        <v>24</v>
      </c>
      <c r="K46" s="8" t="s">
        <v>33</v>
      </c>
      <c r="L46" s="8" t="s">
        <v>96</v>
      </c>
      <c r="M46" s="8" t="s">
        <v>97</v>
      </c>
    </row>
    <row r="47" spans="1:13">
      <c r="A47" s="18" t="s">
        <v>53</v>
      </c>
      <c r="B47" s="18" t="s">
        <v>29</v>
      </c>
      <c r="C47" s="18" t="s">
        <v>42</v>
      </c>
      <c r="D47" s="31" t="s">
        <v>54</v>
      </c>
      <c r="E47" s="18" t="s">
        <v>95</v>
      </c>
      <c r="F47" s="18">
        <v>33</v>
      </c>
      <c r="G47" s="18">
        <v>1</v>
      </c>
      <c r="H47" s="18"/>
      <c r="I47" s="18"/>
      <c r="J47" s="18" t="s">
        <v>24</v>
      </c>
      <c r="K47" s="18" t="s">
        <v>55</v>
      </c>
      <c r="L47" s="8" t="s">
        <v>96</v>
      </c>
      <c r="M47" s="8" t="s">
        <v>97</v>
      </c>
    </row>
    <row r="48" spans="1:13">
      <c r="A48" s="18" t="s">
        <v>34</v>
      </c>
      <c r="B48" s="18" t="s">
        <v>35</v>
      </c>
      <c r="C48" s="18" t="s">
        <v>36</v>
      </c>
      <c r="D48" s="31" t="s">
        <v>37</v>
      </c>
      <c r="E48" s="18" t="s">
        <v>98</v>
      </c>
      <c r="F48" s="18">
        <v>34</v>
      </c>
      <c r="G48" s="18">
        <v>2</v>
      </c>
      <c r="H48" s="18" t="s">
        <v>31</v>
      </c>
      <c r="I48" s="18" t="s">
        <v>32</v>
      </c>
      <c r="J48" s="18" t="s">
        <v>24</v>
      </c>
      <c r="K48" s="18" t="s">
        <v>33</v>
      </c>
      <c r="L48" s="8" t="s">
        <v>86</v>
      </c>
      <c r="M48" s="8" t="s">
        <v>87</v>
      </c>
    </row>
    <row r="49" spans="1:13">
      <c r="A49" s="18" t="s">
        <v>88</v>
      </c>
      <c r="B49" s="18" t="s">
        <v>35</v>
      </c>
      <c r="C49" s="18" t="s">
        <v>21</v>
      </c>
      <c r="D49" s="31" t="s">
        <v>89</v>
      </c>
      <c r="E49" s="18" t="s">
        <v>99</v>
      </c>
      <c r="F49" s="18">
        <v>35</v>
      </c>
      <c r="G49" s="18">
        <v>1</v>
      </c>
      <c r="H49" s="19"/>
      <c r="I49" s="19"/>
      <c r="J49" s="18" t="s">
        <v>24</v>
      </c>
      <c r="K49" s="18" t="s">
        <v>55</v>
      </c>
      <c r="L49" s="8" t="s">
        <v>86</v>
      </c>
      <c r="M49" s="8" t="s">
        <v>87</v>
      </c>
    </row>
    <row r="50" spans="1:13">
      <c r="A50" s="18" t="s">
        <v>56</v>
      </c>
      <c r="B50" s="18" t="s">
        <v>45</v>
      </c>
      <c r="C50" s="18" t="s">
        <v>21</v>
      </c>
      <c r="D50" s="31" t="s">
        <v>57</v>
      </c>
      <c r="E50" s="18" t="s">
        <v>100</v>
      </c>
      <c r="F50" s="18">
        <v>36</v>
      </c>
      <c r="G50" s="18">
        <v>1</v>
      </c>
      <c r="H50" s="18"/>
      <c r="I50" s="18"/>
      <c r="J50" s="18" t="s">
        <v>24</v>
      </c>
      <c r="K50" s="18" t="s">
        <v>25</v>
      </c>
      <c r="L50" s="8" t="s">
        <v>26</v>
      </c>
      <c r="M50" s="8" t="s">
        <v>27</v>
      </c>
    </row>
    <row r="51" spans="1:13">
      <c r="A51" s="18" t="s">
        <v>90</v>
      </c>
      <c r="B51" s="18" t="s">
        <v>45</v>
      </c>
      <c r="C51" s="18" t="s">
        <v>61</v>
      </c>
      <c r="D51" s="31" t="s">
        <v>91</v>
      </c>
      <c r="E51" s="18" t="s">
        <v>100</v>
      </c>
      <c r="F51" s="18">
        <v>36</v>
      </c>
      <c r="G51" s="18">
        <v>1</v>
      </c>
      <c r="H51" s="18"/>
      <c r="I51" s="18"/>
      <c r="J51" s="18" t="s">
        <v>24</v>
      </c>
      <c r="K51" s="18" t="s">
        <v>25</v>
      </c>
      <c r="L51" s="8" t="s">
        <v>26</v>
      </c>
      <c r="M51" s="8" t="s">
        <v>27</v>
      </c>
    </row>
    <row r="52" spans="1:13">
      <c r="A52" s="18" t="s">
        <v>64</v>
      </c>
      <c r="B52" s="18" t="s">
        <v>45</v>
      </c>
      <c r="C52" s="18" t="s">
        <v>36</v>
      </c>
      <c r="D52" s="31" t="s">
        <v>65</v>
      </c>
      <c r="E52" s="18" t="s">
        <v>100</v>
      </c>
      <c r="F52" s="18">
        <v>36</v>
      </c>
      <c r="G52" s="18">
        <v>1</v>
      </c>
      <c r="H52" s="18"/>
      <c r="I52" s="18"/>
      <c r="J52" s="18" t="s">
        <v>24</v>
      </c>
      <c r="K52" s="18" t="s">
        <v>25</v>
      </c>
      <c r="L52" s="8" t="s">
        <v>26</v>
      </c>
      <c r="M52" s="8" t="s">
        <v>27</v>
      </c>
    </row>
    <row r="53" spans="1:13">
      <c r="A53" s="18" t="s">
        <v>19</v>
      </c>
      <c r="B53" s="18" t="s">
        <v>20</v>
      </c>
      <c r="C53" s="18" t="s">
        <v>21</v>
      </c>
      <c r="D53" s="31" t="s">
        <v>22</v>
      </c>
      <c r="E53" s="18" t="s">
        <v>100</v>
      </c>
      <c r="F53" s="18">
        <v>36</v>
      </c>
      <c r="G53" s="18">
        <v>1</v>
      </c>
      <c r="H53" s="18"/>
      <c r="I53" s="18"/>
      <c r="J53" s="18" t="s">
        <v>24</v>
      </c>
      <c r="K53" s="18" t="s">
        <v>55</v>
      </c>
      <c r="L53" s="8" t="s">
        <v>26</v>
      </c>
      <c r="M53" s="8" t="s">
        <v>27</v>
      </c>
    </row>
    <row r="54" spans="1:13">
      <c r="A54" s="18" t="s">
        <v>69</v>
      </c>
      <c r="B54" s="18" t="s">
        <v>20</v>
      </c>
      <c r="C54" s="18" t="s">
        <v>61</v>
      </c>
      <c r="D54" s="31" t="s">
        <v>70</v>
      </c>
      <c r="E54" s="18" t="s">
        <v>100</v>
      </c>
      <c r="F54" s="18">
        <v>36</v>
      </c>
      <c r="G54" s="18">
        <v>1</v>
      </c>
      <c r="H54" s="18"/>
      <c r="I54" s="18"/>
      <c r="J54" s="18" t="s">
        <v>24</v>
      </c>
      <c r="K54" s="18" t="s">
        <v>25</v>
      </c>
      <c r="L54" s="8" t="s">
        <v>26</v>
      </c>
      <c r="M54" s="8" t="s">
        <v>27</v>
      </c>
    </row>
    <row r="55" spans="1:13">
      <c r="A55" s="18" t="s">
        <v>75</v>
      </c>
      <c r="B55" s="18" t="s">
        <v>20</v>
      </c>
      <c r="C55" s="18" t="s">
        <v>36</v>
      </c>
      <c r="D55" s="31" t="s">
        <v>76</v>
      </c>
      <c r="E55" s="18" t="s">
        <v>100</v>
      </c>
      <c r="F55" s="18">
        <v>36</v>
      </c>
      <c r="G55" s="18">
        <v>1</v>
      </c>
      <c r="H55" s="18"/>
      <c r="I55" s="18"/>
      <c r="J55" s="18" t="s">
        <v>24</v>
      </c>
      <c r="K55" s="18" t="s">
        <v>55</v>
      </c>
      <c r="L55" s="8" t="s">
        <v>26</v>
      </c>
      <c r="M55" s="8" t="s">
        <v>27</v>
      </c>
    </row>
    <row r="56" spans="1:13">
      <c r="A56" s="18" t="s">
        <v>28</v>
      </c>
      <c r="B56" s="18" t="s">
        <v>29</v>
      </c>
      <c r="C56" s="18" t="s">
        <v>21</v>
      </c>
      <c r="D56" s="31" t="s">
        <v>30</v>
      </c>
      <c r="E56" s="18" t="s">
        <v>100</v>
      </c>
      <c r="F56" s="18">
        <v>36</v>
      </c>
      <c r="G56" s="18">
        <v>1</v>
      </c>
      <c r="H56" s="18"/>
      <c r="I56" s="18"/>
      <c r="J56" s="18" t="s">
        <v>24</v>
      </c>
      <c r="K56" s="18" t="s">
        <v>25</v>
      </c>
      <c r="L56" s="8" t="s">
        <v>26</v>
      </c>
      <c r="M56" s="8" t="s">
        <v>27</v>
      </c>
    </row>
    <row r="57" spans="1:13">
      <c r="A57" s="18" t="s">
        <v>77</v>
      </c>
      <c r="B57" s="18" t="s">
        <v>29</v>
      </c>
      <c r="C57" s="18" t="s">
        <v>61</v>
      </c>
      <c r="D57" s="31" t="s">
        <v>78</v>
      </c>
      <c r="E57" s="18" t="s">
        <v>100</v>
      </c>
      <c r="F57" s="18">
        <v>36</v>
      </c>
      <c r="G57" s="18">
        <v>1</v>
      </c>
      <c r="H57" s="18"/>
      <c r="I57" s="18"/>
      <c r="J57" s="18" t="s">
        <v>24</v>
      </c>
      <c r="K57" s="18" t="s">
        <v>25</v>
      </c>
      <c r="L57" s="8" t="s">
        <v>26</v>
      </c>
      <c r="M57" s="8" t="s">
        <v>27</v>
      </c>
    </row>
    <row r="58" spans="1:13">
      <c r="A58" s="18" t="s">
        <v>83</v>
      </c>
      <c r="B58" s="18" t="s">
        <v>29</v>
      </c>
      <c r="C58" s="18" t="s">
        <v>36</v>
      </c>
      <c r="D58" s="31" t="s">
        <v>84</v>
      </c>
      <c r="E58" s="8" t="s">
        <v>100</v>
      </c>
      <c r="F58" s="8">
        <v>36</v>
      </c>
      <c r="G58" s="8">
        <v>1</v>
      </c>
      <c r="H58" s="8"/>
      <c r="I58" s="8"/>
      <c r="J58" s="8" t="s">
        <v>24</v>
      </c>
      <c r="K58" s="8" t="s">
        <v>25</v>
      </c>
      <c r="L58" s="8" t="s">
        <v>26</v>
      </c>
      <c r="M58" s="8" t="s">
        <v>27</v>
      </c>
    </row>
    <row r="59" spans="1:13">
      <c r="A59" s="18" t="s">
        <v>53</v>
      </c>
      <c r="B59" s="18" t="s">
        <v>29</v>
      </c>
      <c r="C59" s="18" t="s">
        <v>42</v>
      </c>
      <c r="D59" s="31" t="s">
        <v>54</v>
      </c>
      <c r="E59" s="18" t="s">
        <v>100</v>
      </c>
      <c r="F59" s="18">
        <v>36</v>
      </c>
      <c r="G59" s="18">
        <v>1</v>
      </c>
      <c r="H59" s="18"/>
      <c r="I59" s="18"/>
      <c r="J59" s="18" t="s">
        <v>24</v>
      </c>
      <c r="K59" s="18" t="s">
        <v>25</v>
      </c>
      <c r="L59" s="8" t="s">
        <v>26</v>
      </c>
      <c r="M59" s="8" t="s">
        <v>27</v>
      </c>
    </row>
    <row r="60" spans="1:13">
      <c r="A60" s="18" t="s">
        <v>88</v>
      </c>
      <c r="B60" s="18" t="s">
        <v>35</v>
      </c>
      <c r="C60" s="18" t="s">
        <v>21</v>
      </c>
      <c r="D60" s="31" t="s">
        <v>89</v>
      </c>
      <c r="E60" s="18" t="s">
        <v>100</v>
      </c>
      <c r="F60" s="18">
        <v>36</v>
      </c>
      <c r="G60" s="18">
        <v>1</v>
      </c>
      <c r="H60" s="18"/>
      <c r="I60" s="18"/>
      <c r="J60" s="18" t="s">
        <v>24</v>
      </c>
      <c r="K60" s="18" t="s">
        <v>25</v>
      </c>
      <c r="L60" s="8" t="s">
        <v>26</v>
      </c>
      <c r="M60" s="8" t="s">
        <v>27</v>
      </c>
    </row>
    <row r="61" spans="1:13">
      <c r="A61" s="18" t="s">
        <v>19</v>
      </c>
      <c r="B61" s="18" t="s">
        <v>20</v>
      </c>
      <c r="C61" s="18" t="s">
        <v>21</v>
      </c>
      <c r="D61" s="31" t="s">
        <v>22</v>
      </c>
      <c r="E61" s="18" t="s">
        <v>101</v>
      </c>
      <c r="F61" s="18">
        <v>37</v>
      </c>
      <c r="G61" s="18">
        <v>1</v>
      </c>
      <c r="H61" s="18"/>
      <c r="I61" s="18"/>
      <c r="J61" s="18" t="s">
        <v>24</v>
      </c>
      <c r="K61" s="18" t="s">
        <v>55</v>
      </c>
      <c r="L61" s="8" t="s">
        <v>102</v>
      </c>
      <c r="M61" s="8" t="s">
        <v>103</v>
      </c>
    </row>
    <row r="62" spans="1:13">
      <c r="A62" s="18" t="s">
        <v>56</v>
      </c>
      <c r="B62" s="18" t="s">
        <v>45</v>
      </c>
      <c r="C62" s="18" t="s">
        <v>21</v>
      </c>
      <c r="D62" s="31" t="s">
        <v>57</v>
      </c>
      <c r="E62" s="18" t="s">
        <v>104</v>
      </c>
      <c r="F62" s="18">
        <v>39</v>
      </c>
      <c r="G62" s="18">
        <v>1</v>
      </c>
      <c r="H62" s="18"/>
      <c r="I62" s="18"/>
      <c r="J62" s="18" t="s">
        <v>24</v>
      </c>
      <c r="K62" s="18" t="s">
        <v>55</v>
      </c>
      <c r="L62" s="8" t="s">
        <v>73</v>
      </c>
      <c r="M62" s="8" t="s">
        <v>74</v>
      </c>
    </row>
    <row r="63" spans="1:13">
      <c r="A63" s="18" t="s">
        <v>75</v>
      </c>
      <c r="B63" s="18" t="s">
        <v>20</v>
      </c>
      <c r="C63" s="18" t="s">
        <v>36</v>
      </c>
      <c r="D63" s="31" t="s">
        <v>76</v>
      </c>
      <c r="E63" s="18" t="s">
        <v>105</v>
      </c>
      <c r="F63" s="18">
        <v>41</v>
      </c>
      <c r="G63" s="18">
        <v>1</v>
      </c>
      <c r="H63" s="18"/>
      <c r="I63" s="18"/>
      <c r="J63" s="18" t="s">
        <v>24</v>
      </c>
      <c r="K63" s="18" t="s">
        <v>55</v>
      </c>
      <c r="L63" s="8" t="s">
        <v>67</v>
      </c>
      <c r="M63" s="8" t="s">
        <v>68</v>
      </c>
    </row>
    <row r="64" spans="1:13">
      <c r="A64" s="18" t="s">
        <v>83</v>
      </c>
      <c r="B64" s="18" t="s">
        <v>29</v>
      </c>
      <c r="C64" s="18" t="s">
        <v>36</v>
      </c>
      <c r="D64" s="31" t="s">
        <v>84</v>
      </c>
      <c r="E64" s="8" t="s">
        <v>105</v>
      </c>
      <c r="F64" s="8">
        <v>41</v>
      </c>
      <c r="G64" s="8">
        <v>1</v>
      </c>
      <c r="H64" s="7"/>
      <c r="I64" s="7"/>
      <c r="J64" s="8" t="s">
        <v>24</v>
      </c>
      <c r="K64" s="8" t="s">
        <v>25</v>
      </c>
      <c r="L64" s="8" t="s">
        <v>67</v>
      </c>
      <c r="M64" s="8" t="s">
        <v>68</v>
      </c>
    </row>
    <row r="65" spans="1:13">
      <c r="A65" s="18" t="s">
        <v>19</v>
      </c>
      <c r="B65" s="18" t="s">
        <v>20</v>
      </c>
      <c r="C65" s="18" t="s">
        <v>21</v>
      </c>
      <c r="D65" s="31" t="s">
        <v>22</v>
      </c>
      <c r="E65" s="18" t="s">
        <v>106</v>
      </c>
      <c r="F65" s="18">
        <v>42</v>
      </c>
      <c r="G65" s="18">
        <v>2</v>
      </c>
      <c r="H65" s="18" t="s">
        <v>72</v>
      </c>
      <c r="I65" s="18" t="s">
        <v>48</v>
      </c>
      <c r="J65" s="18" t="s">
        <v>24</v>
      </c>
      <c r="K65" s="18" t="s">
        <v>33</v>
      </c>
      <c r="L65" s="8" t="s">
        <v>67</v>
      </c>
      <c r="M65" s="8" t="s">
        <v>68</v>
      </c>
    </row>
    <row r="66" spans="1:13">
      <c r="A66" s="18" t="s">
        <v>44</v>
      </c>
      <c r="B66" s="18" t="s">
        <v>45</v>
      </c>
      <c r="C66" s="18" t="s">
        <v>42</v>
      </c>
      <c r="D66" s="31" t="s">
        <v>46</v>
      </c>
      <c r="E66" s="18" t="s">
        <v>107</v>
      </c>
      <c r="F66" s="18">
        <v>45</v>
      </c>
      <c r="G66" s="18">
        <v>1</v>
      </c>
      <c r="H66" s="18"/>
      <c r="I66" s="18"/>
      <c r="J66" s="18" t="s">
        <v>24</v>
      </c>
      <c r="K66" s="18" t="s">
        <v>55</v>
      </c>
      <c r="L66" s="8" t="s">
        <v>39</v>
      </c>
      <c r="M66" s="8" t="s">
        <v>40</v>
      </c>
    </row>
    <row r="67" spans="1:13">
      <c r="A67" s="18" t="s">
        <v>56</v>
      </c>
      <c r="B67" s="18" t="s">
        <v>45</v>
      </c>
      <c r="C67" s="18" t="s">
        <v>21</v>
      </c>
      <c r="D67" s="31" t="s">
        <v>57</v>
      </c>
      <c r="E67" s="18" t="s">
        <v>108</v>
      </c>
      <c r="F67" s="18">
        <v>46</v>
      </c>
      <c r="G67" s="18">
        <v>1</v>
      </c>
      <c r="H67" s="18"/>
      <c r="I67" s="18"/>
      <c r="J67" s="18" t="s">
        <v>24</v>
      </c>
      <c r="K67" s="18" t="s">
        <v>55</v>
      </c>
      <c r="L67" s="8" t="s">
        <v>81</v>
      </c>
      <c r="M67" s="8" t="s">
        <v>82</v>
      </c>
    </row>
    <row r="68" spans="1:13">
      <c r="A68" s="18" t="s">
        <v>64</v>
      </c>
      <c r="B68" s="18" t="s">
        <v>45</v>
      </c>
      <c r="C68" s="18" t="s">
        <v>36</v>
      </c>
      <c r="D68" s="31" t="s">
        <v>65</v>
      </c>
      <c r="E68" s="18" t="s">
        <v>108</v>
      </c>
      <c r="F68" s="18">
        <v>46</v>
      </c>
      <c r="G68" s="18">
        <v>1</v>
      </c>
      <c r="H68" s="18"/>
      <c r="I68" s="18"/>
      <c r="J68" s="18" t="s">
        <v>24</v>
      </c>
      <c r="K68" s="18" t="s">
        <v>55</v>
      </c>
      <c r="L68" s="8" t="s">
        <v>81</v>
      </c>
      <c r="M68" s="8" t="s">
        <v>82</v>
      </c>
    </row>
    <row r="69" spans="1:13">
      <c r="A69" s="18" t="s">
        <v>75</v>
      </c>
      <c r="B69" s="18" t="s">
        <v>20</v>
      </c>
      <c r="C69" s="18" t="s">
        <v>36</v>
      </c>
      <c r="D69" s="31" t="s">
        <v>76</v>
      </c>
      <c r="E69" s="18" t="s">
        <v>108</v>
      </c>
      <c r="F69" s="18">
        <v>46</v>
      </c>
      <c r="G69" s="18">
        <v>1</v>
      </c>
      <c r="H69" s="18"/>
      <c r="I69" s="18"/>
      <c r="J69" s="18" t="s">
        <v>24</v>
      </c>
      <c r="K69" s="18" t="s">
        <v>55</v>
      </c>
      <c r="L69" s="8" t="s">
        <v>81</v>
      </c>
      <c r="M69" s="8" t="s">
        <v>82</v>
      </c>
    </row>
    <row r="70" spans="1:13">
      <c r="A70" s="18" t="s">
        <v>28</v>
      </c>
      <c r="B70" s="18" t="s">
        <v>29</v>
      </c>
      <c r="C70" s="18" t="s">
        <v>21</v>
      </c>
      <c r="D70" s="31" t="s">
        <v>30</v>
      </c>
      <c r="E70" s="18" t="s">
        <v>108</v>
      </c>
      <c r="F70" s="18">
        <v>46</v>
      </c>
      <c r="G70" s="18">
        <v>2</v>
      </c>
      <c r="H70" s="19">
        <v>78356</v>
      </c>
      <c r="I70" s="19" t="s">
        <v>48</v>
      </c>
      <c r="J70" s="18" t="s">
        <v>24</v>
      </c>
      <c r="K70" s="18" t="s">
        <v>33</v>
      </c>
      <c r="L70" s="8" t="s">
        <v>81</v>
      </c>
      <c r="M70" s="8" t="s">
        <v>82</v>
      </c>
    </row>
    <row r="71" spans="1:13">
      <c r="A71" s="18" t="s">
        <v>77</v>
      </c>
      <c r="B71" s="18" t="s">
        <v>29</v>
      </c>
      <c r="C71" s="18" t="s">
        <v>61</v>
      </c>
      <c r="D71" s="31" t="s">
        <v>78</v>
      </c>
      <c r="E71" s="18" t="s">
        <v>108</v>
      </c>
      <c r="F71" s="18">
        <v>46</v>
      </c>
      <c r="G71" s="18">
        <v>1</v>
      </c>
      <c r="H71" s="18"/>
      <c r="I71" s="18"/>
      <c r="J71" s="18" t="s">
        <v>24</v>
      </c>
      <c r="K71" s="18" t="s">
        <v>55</v>
      </c>
      <c r="L71" s="8" t="s">
        <v>81</v>
      </c>
      <c r="M71" s="8" t="s">
        <v>82</v>
      </c>
    </row>
    <row r="72" spans="1:13">
      <c r="A72" s="18" t="s">
        <v>83</v>
      </c>
      <c r="B72" s="18" t="s">
        <v>29</v>
      </c>
      <c r="C72" s="18" t="s">
        <v>36</v>
      </c>
      <c r="D72" s="31" t="s">
        <v>84</v>
      </c>
      <c r="E72" s="8" t="s">
        <v>108</v>
      </c>
      <c r="F72" s="8">
        <v>46</v>
      </c>
      <c r="G72" s="8">
        <v>1</v>
      </c>
      <c r="H72" s="8"/>
      <c r="I72" s="8"/>
      <c r="J72" s="8" t="s">
        <v>24</v>
      </c>
      <c r="K72" s="8" t="s">
        <v>55</v>
      </c>
      <c r="L72" s="8" t="s">
        <v>81</v>
      </c>
      <c r="M72" s="8" t="s">
        <v>82</v>
      </c>
    </row>
    <row r="73" spans="1:13">
      <c r="A73" s="18" t="s">
        <v>34</v>
      </c>
      <c r="B73" s="18" t="s">
        <v>35</v>
      </c>
      <c r="C73" s="18" t="s">
        <v>36</v>
      </c>
      <c r="D73" s="31" t="s">
        <v>37</v>
      </c>
      <c r="E73" s="18" t="s">
        <v>109</v>
      </c>
      <c r="F73" s="18">
        <v>49</v>
      </c>
      <c r="G73" s="18">
        <v>1</v>
      </c>
      <c r="H73" s="18"/>
      <c r="I73" s="18"/>
      <c r="J73" s="18" t="s">
        <v>24</v>
      </c>
      <c r="K73" s="18" t="s">
        <v>55</v>
      </c>
      <c r="L73" s="8" t="s">
        <v>110</v>
      </c>
      <c r="M73" s="8" t="s">
        <v>111</v>
      </c>
    </row>
    <row r="74" spans="1:13">
      <c r="A74" s="18" t="s">
        <v>83</v>
      </c>
      <c r="B74" s="18" t="s">
        <v>29</v>
      </c>
      <c r="C74" s="18" t="s">
        <v>36</v>
      </c>
      <c r="D74" s="31" t="s">
        <v>84</v>
      </c>
      <c r="E74" s="8" t="s">
        <v>112</v>
      </c>
      <c r="F74" s="8">
        <v>53</v>
      </c>
      <c r="G74" s="8">
        <v>2</v>
      </c>
      <c r="H74" s="8">
        <v>50256</v>
      </c>
      <c r="I74" s="8" t="s">
        <v>48</v>
      </c>
      <c r="J74" s="8" t="s">
        <v>24</v>
      </c>
      <c r="K74" s="8" t="s">
        <v>33</v>
      </c>
      <c r="L74" s="8" t="s">
        <v>86</v>
      </c>
      <c r="M74" s="8" t="s">
        <v>87</v>
      </c>
    </row>
    <row r="75" spans="1:13">
      <c r="A75" s="18" t="s">
        <v>90</v>
      </c>
      <c r="B75" s="18" t="s">
        <v>45</v>
      </c>
      <c r="C75" s="18" t="s">
        <v>61</v>
      </c>
      <c r="D75" s="31" t="s">
        <v>91</v>
      </c>
      <c r="E75" s="18" t="s">
        <v>113</v>
      </c>
      <c r="F75" s="18">
        <v>57</v>
      </c>
      <c r="G75" s="18">
        <v>1</v>
      </c>
      <c r="H75" s="18"/>
      <c r="I75" s="18"/>
      <c r="J75" s="18" t="s">
        <v>24</v>
      </c>
      <c r="K75" s="18" t="s">
        <v>25</v>
      </c>
      <c r="L75" s="8" t="s">
        <v>114</v>
      </c>
      <c r="M75" s="8" t="s">
        <v>115</v>
      </c>
    </row>
    <row r="76" spans="1:13">
      <c r="A76" s="18" t="s">
        <v>64</v>
      </c>
      <c r="B76" s="18" t="s">
        <v>45</v>
      </c>
      <c r="C76" s="18" t="s">
        <v>36</v>
      </c>
      <c r="D76" s="31" t="s">
        <v>65</v>
      </c>
      <c r="E76" s="18" t="s">
        <v>113</v>
      </c>
      <c r="F76" s="18">
        <v>57</v>
      </c>
      <c r="G76" s="18">
        <v>1</v>
      </c>
      <c r="H76" s="18"/>
      <c r="I76" s="18"/>
      <c r="J76" s="18" t="s">
        <v>24</v>
      </c>
      <c r="K76" s="18" t="s">
        <v>25</v>
      </c>
      <c r="L76" s="8" t="s">
        <v>114</v>
      </c>
      <c r="M76" s="8" t="s">
        <v>115</v>
      </c>
    </row>
    <row r="77" spans="1:13">
      <c r="A77" s="18" t="s">
        <v>44</v>
      </c>
      <c r="B77" s="18" t="s">
        <v>45</v>
      </c>
      <c r="C77" s="18" t="s">
        <v>42</v>
      </c>
      <c r="D77" s="31" t="s">
        <v>46</v>
      </c>
      <c r="E77" s="18" t="s">
        <v>113</v>
      </c>
      <c r="F77" s="18">
        <v>57</v>
      </c>
      <c r="G77" s="18">
        <v>1</v>
      </c>
      <c r="H77" s="18"/>
      <c r="I77" s="18"/>
      <c r="J77" s="18" t="s">
        <v>24</v>
      </c>
      <c r="K77" s="18" t="s">
        <v>25</v>
      </c>
      <c r="L77" s="8" t="s">
        <v>114</v>
      </c>
      <c r="M77" s="8" t="s">
        <v>115</v>
      </c>
    </row>
    <row r="78" spans="1:13">
      <c r="A78" s="18" t="s">
        <v>19</v>
      </c>
      <c r="B78" s="18" t="s">
        <v>20</v>
      </c>
      <c r="C78" s="18" t="s">
        <v>21</v>
      </c>
      <c r="D78" s="31" t="s">
        <v>22</v>
      </c>
      <c r="E78" s="18" t="s">
        <v>113</v>
      </c>
      <c r="F78" s="18">
        <v>57</v>
      </c>
      <c r="G78" s="18">
        <v>2</v>
      </c>
      <c r="H78" s="19">
        <v>30390</v>
      </c>
      <c r="I78" s="19" t="s">
        <v>48</v>
      </c>
      <c r="J78" s="18" t="s">
        <v>24</v>
      </c>
      <c r="K78" s="18" t="s">
        <v>33</v>
      </c>
      <c r="L78" s="8" t="s">
        <v>114</v>
      </c>
      <c r="M78" s="8" t="s">
        <v>115</v>
      </c>
    </row>
    <row r="79" spans="1:13">
      <c r="A79" s="18" t="s">
        <v>69</v>
      </c>
      <c r="B79" s="18" t="s">
        <v>20</v>
      </c>
      <c r="C79" s="18" t="s">
        <v>61</v>
      </c>
      <c r="D79" s="31" t="s">
        <v>70</v>
      </c>
      <c r="E79" s="18" t="s">
        <v>113</v>
      </c>
      <c r="F79" s="18">
        <v>57</v>
      </c>
      <c r="G79" s="18">
        <v>1</v>
      </c>
      <c r="H79" s="19"/>
      <c r="I79" s="18"/>
      <c r="J79" s="18" t="s">
        <v>24</v>
      </c>
      <c r="K79" s="18" t="s">
        <v>25</v>
      </c>
      <c r="L79" s="8" t="s">
        <v>114</v>
      </c>
      <c r="M79" s="8" t="s">
        <v>115</v>
      </c>
    </row>
    <row r="80" spans="1:13">
      <c r="A80" s="18" t="s">
        <v>75</v>
      </c>
      <c r="B80" s="18" t="s">
        <v>20</v>
      </c>
      <c r="C80" s="18" t="s">
        <v>36</v>
      </c>
      <c r="D80" s="31" t="s">
        <v>76</v>
      </c>
      <c r="E80" s="18" t="s">
        <v>113</v>
      </c>
      <c r="F80" s="18">
        <v>57</v>
      </c>
      <c r="G80" s="18">
        <v>1</v>
      </c>
      <c r="H80" s="18"/>
      <c r="I80" s="18"/>
      <c r="J80" s="18" t="s">
        <v>24</v>
      </c>
      <c r="K80" s="18" t="s">
        <v>55</v>
      </c>
      <c r="L80" s="8" t="s">
        <v>114</v>
      </c>
      <c r="M80" s="8" t="s">
        <v>115</v>
      </c>
    </row>
    <row r="81" spans="1:13">
      <c r="A81" s="18" t="s">
        <v>51</v>
      </c>
      <c r="B81" s="18" t="s">
        <v>20</v>
      </c>
      <c r="C81" s="18" t="s">
        <v>42</v>
      </c>
      <c r="D81" s="31" t="s">
        <v>52</v>
      </c>
      <c r="E81" s="18" t="s">
        <v>113</v>
      </c>
      <c r="F81" s="18">
        <v>57</v>
      </c>
      <c r="G81" s="18">
        <v>1</v>
      </c>
      <c r="H81" s="18"/>
      <c r="I81" s="18"/>
      <c r="J81" s="18" t="s">
        <v>24</v>
      </c>
      <c r="K81" s="18" t="s">
        <v>25</v>
      </c>
      <c r="L81" s="8" t="s">
        <v>114</v>
      </c>
      <c r="M81" s="8" t="s">
        <v>115</v>
      </c>
    </row>
    <row r="82" spans="1:13">
      <c r="A82" s="18" t="s">
        <v>77</v>
      </c>
      <c r="B82" s="18" t="s">
        <v>29</v>
      </c>
      <c r="C82" s="18" t="s">
        <v>61</v>
      </c>
      <c r="D82" s="31" t="s">
        <v>78</v>
      </c>
      <c r="E82" s="18" t="s">
        <v>113</v>
      </c>
      <c r="F82" s="18">
        <v>57</v>
      </c>
      <c r="G82" s="18">
        <v>1</v>
      </c>
      <c r="H82" s="18"/>
      <c r="I82" s="18"/>
      <c r="J82" s="18" t="s">
        <v>24</v>
      </c>
      <c r="K82" s="18" t="s">
        <v>25</v>
      </c>
      <c r="L82" s="8" t="s">
        <v>114</v>
      </c>
      <c r="M82" s="8" t="s">
        <v>115</v>
      </c>
    </row>
    <row r="83" spans="1:13">
      <c r="A83" s="18" t="s">
        <v>83</v>
      </c>
      <c r="B83" s="18" t="s">
        <v>29</v>
      </c>
      <c r="C83" s="18" t="s">
        <v>36</v>
      </c>
      <c r="D83" s="31" t="s">
        <v>84</v>
      </c>
      <c r="E83" s="8" t="s">
        <v>113</v>
      </c>
      <c r="F83" s="8">
        <v>57</v>
      </c>
      <c r="G83" s="8">
        <v>1</v>
      </c>
      <c r="H83" s="7"/>
      <c r="I83" s="7"/>
      <c r="J83" s="8" t="s">
        <v>24</v>
      </c>
      <c r="K83" s="8" t="s">
        <v>25</v>
      </c>
      <c r="L83" s="8" t="s">
        <v>114</v>
      </c>
      <c r="M83" s="8" t="s">
        <v>115</v>
      </c>
    </row>
    <row r="84" spans="1:13">
      <c r="A84" s="18" t="s">
        <v>53</v>
      </c>
      <c r="B84" s="18" t="s">
        <v>29</v>
      </c>
      <c r="C84" s="18" t="s">
        <v>42</v>
      </c>
      <c r="D84" s="31" t="s">
        <v>54</v>
      </c>
      <c r="E84" s="18" t="s">
        <v>113</v>
      </c>
      <c r="F84" s="18">
        <v>57</v>
      </c>
      <c r="G84" s="18">
        <v>2</v>
      </c>
      <c r="H84" s="19">
        <v>16895</v>
      </c>
      <c r="I84" s="18" t="s">
        <v>32</v>
      </c>
      <c r="J84" s="18" t="s">
        <v>24</v>
      </c>
      <c r="K84" s="18" t="s">
        <v>33</v>
      </c>
      <c r="L84" s="8" t="s">
        <v>114</v>
      </c>
      <c r="M84" s="8" t="s">
        <v>115</v>
      </c>
    </row>
    <row r="85" spans="1:13">
      <c r="A85" s="18" t="s">
        <v>60</v>
      </c>
      <c r="B85" s="18" t="s">
        <v>35</v>
      </c>
      <c r="C85" s="18" t="s">
        <v>61</v>
      </c>
      <c r="D85" s="31" t="s">
        <v>62</v>
      </c>
      <c r="E85" s="18" t="s">
        <v>113</v>
      </c>
      <c r="F85" s="18">
        <v>57</v>
      </c>
      <c r="G85" s="18">
        <v>1</v>
      </c>
      <c r="H85" s="19"/>
      <c r="I85" s="19"/>
      <c r="J85" s="18" t="s">
        <v>24</v>
      </c>
      <c r="K85" s="18" t="s">
        <v>25</v>
      </c>
      <c r="L85" s="8" t="s">
        <v>114</v>
      </c>
      <c r="M85" s="8" t="s">
        <v>115</v>
      </c>
    </row>
    <row r="86" spans="1:13">
      <c r="A86" s="18" t="s">
        <v>34</v>
      </c>
      <c r="B86" s="18" t="s">
        <v>35</v>
      </c>
      <c r="C86" s="18" t="s">
        <v>36</v>
      </c>
      <c r="D86" s="31" t="s">
        <v>37</v>
      </c>
      <c r="E86" s="18" t="s">
        <v>113</v>
      </c>
      <c r="F86" s="18">
        <v>57</v>
      </c>
      <c r="G86" s="18">
        <v>1</v>
      </c>
      <c r="H86" s="19"/>
      <c r="I86" s="19"/>
      <c r="J86" s="18" t="s">
        <v>24</v>
      </c>
      <c r="K86" s="18" t="s">
        <v>25</v>
      </c>
      <c r="L86" s="8" t="s">
        <v>114</v>
      </c>
      <c r="M86" s="8" t="s">
        <v>115</v>
      </c>
    </row>
    <row r="87" spans="1:13">
      <c r="A87" s="18" t="s">
        <v>41</v>
      </c>
      <c r="B87" s="18" t="s">
        <v>35</v>
      </c>
      <c r="C87" s="18" t="s">
        <v>42</v>
      </c>
      <c r="D87" s="31" t="s">
        <v>43</v>
      </c>
      <c r="E87" s="18" t="s">
        <v>113</v>
      </c>
      <c r="F87" s="18">
        <v>57</v>
      </c>
      <c r="G87" s="18">
        <v>1</v>
      </c>
      <c r="H87" s="19"/>
      <c r="I87" s="19"/>
      <c r="J87" s="18" t="s">
        <v>24</v>
      </c>
      <c r="K87" s="18" t="s">
        <v>55</v>
      </c>
      <c r="L87" s="8" t="s">
        <v>114</v>
      </c>
      <c r="M87" s="8" t="s">
        <v>115</v>
      </c>
    </row>
    <row r="88" spans="1:13">
      <c r="A88" s="18" t="s">
        <v>44</v>
      </c>
      <c r="B88" s="18" t="s">
        <v>45</v>
      </c>
      <c r="C88" s="18" t="s">
        <v>42</v>
      </c>
      <c r="D88" s="31" t="s">
        <v>46</v>
      </c>
      <c r="E88" s="18" t="s">
        <v>116</v>
      </c>
      <c r="F88" s="18">
        <v>58</v>
      </c>
      <c r="G88" s="18">
        <v>1</v>
      </c>
      <c r="H88" s="18"/>
      <c r="I88" s="18"/>
      <c r="J88" s="18" t="s">
        <v>24</v>
      </c>
      <c r="K88" s="18" t="s">
        <v>25</v>
      </c>
      <c r="L88" s="8" t="s">
        <v>102</v>
      </c>
      <c r="M88" s="8" t="s">
        <v>103</v>
      </c>
    </row>
    <row r="89" spans="1:13">
      <c r="A89" s="18" t="s">
        <v>51</v>
      </c>
      <c r="B89" s="18" t="s">
        <v>20</v>
      </c>
      <c r="C89" s="18" t="s">
        <v>42</v>
      </c>
      <c r="D89" s="31" t="s">
        <v>52</v>
      </c>
      <c r="E89" s="18" t="s">
        <v>116</v>
      </c>
      <c r="F89" s="18">
        <v>58</v>
      </c>
      <c r="G89" s="18">
        <v>1</v>
      </c>
      <c r="H89" s="18"/>
      <c r="I89" s="18"/>
      <c r="J89" s="18" t="s">
        <v>24</v>
      </c>
      <c r="K89" s="18" t="s">
        <v>25</v>
      </c>
      <c r="L89" s="8" t="s">
        <v>102</v>
      </c>
      <c r="M89" s="8" t="s">
        <v>103</v>
      </c>
    </row>
    <row r="90" spans="1:13">
      <c r="A90" s="18" t="s">
        <v>53</v>
      </c>
      <c r="B90" s="18" t="s">
        <v>29</v>
      </c>
      <c r="C90" s="18" t="s">
        <v>42</v>
      </c>
      <c r="D90" s="31" t="s">
        <v>54</v>
      </c>
      <c r="E90" s="18" t="s">
        <v>116</v>
      </c>
      <c r="F90" s="18">
        <v>58</v>
      </c>
      <c r="G90" s="18">
        <v>1</v>
      </c>
      <c r="H90" s="19"/>
      <c r="I90" s="19"/>
      <c r="J90" s="18" t="s">
        <v>24</v>
      </c>
      <c r="K90" s="18" t="s">
        <v>55</v>
      </c>
      <c r="L90" s="8" t="s">
        <v>102</v>
      </c>
      <c r="M90" s="8" t="s">
        <v>103</v>
      </c>
    </row>
    <row r="91" spans="1:13">
      <c r="A91" s="18" t="s">
        <v>88</v>
      </c>
      <c r="B91" s="18" t="s">
        <v>35</v>
      </c>
      <c r="C91" s="18" t="s">
        <v>21</v>
      </c>
      <c r="D91" s="31" t="s">
        <v>89</v>
      </c>
      <c r="E91" s="18" t="s">
        <v>116</v>
      </c>
      <c r="F91" s="18">
        <v>58</v>
      </c>
      <c r="G91" s="18">
        <v>1</v>
      </c>
      <c r="H91" s="18"/>
      <c r="I91" s="18"/>
      <c r="J91" s="18" t="s">
        <v>24</v>
      </c>
      <c r="K91" s="18" t="s">
        <v>25</v>
      </c>
      <c r="L91" s="8" t="s">
        <v>102</v>
      </c>
      <c r="M91" s="8" t="s">
        <v>103</v>
      </c>
    </row>
    <row r="92" spans="1:13">
      <c r="A92" s="18" t="s">
        <v>34</v>
      </c>
      <c r="B92" s="18" t="s">
        <v>35</v>
      </c>
      <c r="C92" s="18" t="s">
        <v>36</v>
      </c>
      <c r="D92" s="31" t="s">
        <v>37</v>
      </c>
      <c r="E92" s="18" t="s">
        <v>116</v>
      </c>
      <c r="F92" s="18">
        <v>58</v>
      </c>
      <c r="G92" s="18">
        <v>1</v>
      </c>
      <c r="H92" s="19"/>
      <c r="I92" s="19"/>
      <c r="J92" s="18" t="s">
        <v>24</v>
      </c>
      <c r="K92" s="18" t="s">
        <v>25</v>
      </c>
      <c r="L92" s="8" t="s">
        <v>102</v>
      </c>
      <c r="M92" s="8" t="s">
        <v>103</v>
      </c>
    </row>
    <row r="93" spans="1:13">
      <c r="A93" s="18" t="s">
        <v>41</v>
      </c>
      <c r="B93" s="18" t="s">
        <v>35</v>
      </c>
      <c r="C93" s="18" t="s">
        <v>42</v>
      </c>
      <c r="D93" s="31" t="s">
        <v>43</v>
      </c>
      <c r="E93" s="18" t="s">
        <v>116</v>
      </c>
      <c r="F93" s="18">
        <v>58</v>
      </c>
      <c r="G93" s="18">
        <v>1</v>
      </c>
      <c r="H93" s="19"/>
      <c r="I93" s="19"/>
      <c r="J93" s="18" t="s">
        <v>24</v>
      </c>
      <c r="K93" s="18" t="s">
        <v>25</v>
      </c>
      <c r="L93" s="8" t="s">
        <v>102</v>
      </c>
      <c r="M93" s="8" t="s">
        <v>103</v>
      </c>
    </row>
    <row r="94" spans="1:13">
      <c r="A94" s="18" t="s">
        <v>53</v>
      </c>
      <c r="B94" s="18" t="s">
        <v>29</v>
      </c>
      <c r="C94" s="18" t="s">
        <v>42</v>
      </c>
      <c r="D94" s="31" t="s">
        <v>54</v>
      </c>
      <c r="E94" s="18" t="s">
        <v>117</v>
      </c>
      <c r="F94" s="18">
        <v>59</v>
      </c>
      <c r="G94" s="18">
        <v>1</v>
      </c>
      <c r="H94" s="19"/>
      <c r="I94" s="19"/>
      <c r="J94" s="18" t="s">
        <v>24</v>
      </c>
      <c r="K94" s="18" t="s">
        <v>55</v>
      </c>
      <c r="L94" s="8" t="s">
        <v>102</v>
      </c>
      <c r="M94" s="8" t="s">
        <v>103</v>
      </c>
    </row>
    <row r="95" spans="1:13">
      <c r="A95" s="18" t="s">
        <v>41</v>
      </c>
      <c r="B95" s="18" t="s">
        <v>35</v>
      </c>
      <c r="C95" s="18" t="s">
        <v>42</v>
      </c>
      <c r="D95" s="31" t="s">
        <v>43</v>
      </c>
      <c r="E95" s="18" t="s">
        <v>117</v>
      </c>
      <c r="F95" s="18">
        <v>59</v>
      </c>
      <c r="G95" s="18">
        <v>1</v>
      </c>
      <c r="H95" s="19"/>
      <c r="I95" s="18"/>
      <c r="J95" s="18" t="s">
        <v>24</v>
      </c>
      <c r="K95" s="18" t="s">
        <v>25</v>
      </c>
      <c r="L95" s="8" t="s">
        <v>102</v>
      </c>
      <c r="M95" s="8" t="s">
        <v>103</v>
      </c>
    </row>
    <row r="96" spans="1:13">
      <c r="A96" s="18" t="s">
        <v>53</v>
      </c>
      <c r="B96" s="18" t="s">
        <v>29</v>
      </c>
      <c r="C96" s="18" t="s">
        <v>42</v>
      </c>
      <c r="D96" s="31" t="s">
        <v>54</v>
      </c>
      <c r="E96" s="18" t="s">
        <v>118</v>
      </c>
      <c r="F96" s="18">
        <v>62</v>
      </c>
      <c r="G96" s="18">
        <v>1</v>
      </c>
      <c r="H96" s="19"/>
      <c r="I96" s="19"/>
      <c r="J96" s="18" t="s">
        <v>24</v>
      </c>
      <c r="K96" s="18" t="s">
        <v>55</v>
      </c>
      <c r="L96" s="8" t="s">
        <v>119</v>
      </c>
      <c r="M96" s="8" t="s">
        <v>120</v>
      </c>
    </row>
    <row r="97" spans="1:13">
      <c r="A97" s="18" t="s">
        <v>56</v>
      </c>
      <c r="B97" s="18" t="s">
        <v>45</v>
      </c>
      <c r="C97" s="18" t="s">
        <v>21</v>
      </c>
      <c r="D97" s="31" t="s">
        <v>57</v>
      </c>
      <c r="E97" s="18" t="s">
        <v>121</v>
      </c>
      <c r="F97" s="18">
        <v>63</v>
      </c>
      <c r="G97" s="18">
        <v>1</v>
      </c>
      <c r="H97" s="18"/>
      <c r="I97" s="18"/>
      <c r="J97" s="18" t="s">
        <v>24</v>
      </c>
      <c r="K97" s="18" t="s">
        <v>55</v>
      </c>
      <c r="L97" s="8" t="s">
        <v>119</v>
      </c>
      <c r="M97" s="8" t="s">
        <v>120</v>
      </c>
    </row>
    <row r="98" spans="1:13">
      <c r="A98" s="18" t="s">
        <v>90</v>
      </c>
      <c r="B98" s="18" t="s">
        <v>45</v>
      </c>
      <c r="C98" s="18" t="s">
        <v>61</v>
      </c>
      <c r="D98" s="31" t="s">
        <v>91</v>
      </c>
      <c r="E98" s="18" t="s">
        <v>121</v>
      </c>
      <c r="F98" s="18">
        <v>63</v>
      </c>
      <c r="G98" s="18">
        <v>1</v>
      </c>
      <c r="H98" s="18"/>
      <c r="I98" s="18"/>
      <c r="J98" s="18" t="s">
        <v>24</v>
      </c>
      <c r="K98" s="18" t="s">
        <v>25</v>
      </c>
      <c r="L98" s="8" t="s">
        <v>119</v>
      </c>
      <c r="M98" s="8" t="s">
        <v>120</v>
      </c>
    </row>
    <row r="99" spans="1:13">
      <c r="A99" s="18" t="s">
        <v>64</v>
      </c>
      <c r="B99" s="18" t="s">
        <v>45</v>
      </c>
      <c r="C99" s="18" t="s">
        <v>36</v>
      </c>
      <c r="D99" s="31" t="s">
        <v>65</v>
      </c>
      <c r="E99" s="18" t="s">
        <v>121</v>
      </c>
      <c r="F99" s="18">
        <v>63</v>
      </c>
      <c r="G99" s="18">
        <v>1</v>
      </c>
      <c r="H99" s="18"/>
      <c r="I99" s="18"/>
      <c r="J99" s="18" t="s">
        <v>24</v>
      </c>
      <c r="K99" s="18" t="s">
        <v>55</v>
      </c>
      <c r="L99" s="8" t="s">
        <v>119</v>
      </c>
      <c r="M99" s="8" t="s">
        <v>120</v>
      </c>
    </row>
    <row r="100" spans="1:13">
      <c r="A100" s="18" t="s">
        <v>44</v>
      </c>
      <c r="B100" s="18" t="s">
        <v>45</v>
      </c>
      <c r="C100" s="18" t="s">
        <v>42</v>
      </c>
      <c r="D100" s="31" t="s">
        <v>46</v>
      </c>
      <c r="E100" s="18" t="s">
        <v>121</v>
      </c>
      <c r="F100" s="18">
        <v>63</v>
      </c>
      <c r="G100" s="18">
        <v>1</v>
      </c>
      <c r="H100" s="18"/>
      <c r="I100" s="18"/>
      <c r="J100" s="18" t="s">
        <v>24</v>
      </c>
      <c r="K100" s="18" t="s">
        <v>25</v>
      </c>
      <c r="L100" s="8" t="s">
        <v>119</v>
      </c>
      <c r="M100" s="8" t="s">
        <v>120</v>
      </c>
    </row>
    <row r="101" spans="1:13">
      <c r="A101" s="18" t="s">
        <v>19</v>
      </c>
      <c r="B101" s="18" t="s">
        <v>20</v>
      </c>
      <c r="C101" s="18" t="s">
        <v>21</v>
      </c>
      <c r="D101" s="31" t="s">
        <v>22</v>
      </c>
      <c r="E101" s="18" t="s">
        <v>121</v>
      </c>
      <c r="F101" s="18">
        <v>63</v>
      </c>
      <c r="G101" s="18">
        <v>1</v>
      </c>
      <c r="H101" s="18"/>
      <c r="I101" s="18"/>
      <c r="J101" s="18" t="s">
        <v>24</v>
      </c>
      <c r="K101" s="18" t="s">
        <v>25</v>
      </c>
      <c r="L101" s="8" t="s">
        <v>119</v>
      </c>
      <c r="M101" s="8" t="s">
        <v>120</v>
      </c>
    </row>
    <row r="102" spans="1:13">
      <c r="A102" s="18" t="s">
        <v>75</v>
      </c>
      <c r="B102" s="18" t="s">
        <v>20</v>
      </c>
      <c r="C102" s="18" t="s">
        <v>36</v>
      </c>
      <c r="D102" s="31" t="s">
        <v>76</v>
      </c>
      <c r="E102" s="18" t="s">
        <v>121</v>
      </c>
      <c r="F102" s="18">
        <v>63</v>
      </c>
      <c r="G102" s="18">
        <v>1</v>
      </c>
      <c r="H102" s="18"/>
      <c r="I102" s="18"/>
      <c r="J102" s="18" t="s">
        <v>24</v>
      </c>
      <c r="K102" s="18" t="s">
        <v>25</v>
      </c>
      <c r="L102" s="8" t="s">
        <v>119</v>
      </c>
      <c r="M102" s="8" t="s">
        <v>120</v>
      </c>
    </row>
    <row r="103" spans="1:13">
      <c r="A103" s="18" t="s">
        <v>51</v>
      </c>
      <c r="B103" s="18" t="s">
        <v>20</v>
      </c>
      <c r="C103" s="18" t="s">
        <v>42</v>
      </c>
      <c r="D103" s="31" t="s">
        <v>52</v>
      </c>
      <c r="E103" s="18" t="s">
        <v>121</v>
      </c>
      <c r="F103" s="18">
        <v>63</v>
      </c>
      <c r="G103" s="18">
        <v>1</v>
      </c>
      <c r="H103" s="18"/>
      <c r="I103" s="18"/>
      <c r="J103" s="18" t="s">
        <v>24</v>
      </c>
      <c r="K103" s="18" t="s">
        <v>25</v>
      </c>
      <c r="L103" s="8" t="s">
        <v>119</v>
      </c>
      <c r="M103" s="8" t="s">
        <v>120</v>
      </c>
    </row>
    <row r="104" spans="1:13">
      <c r="A104" s="18" t="s">
        <v>77</v>
      </c>
      <c r="B104" s="18" t="s">
        <v>29</v>
      </c>
      <c r="C104" s="18" t="s">
        <v>61</v>
      </c>
      <c r="D104" s="31" t="s">
        <v>78</v>
      </c>
      <c r="E104" s="18" t="s">
        <v>121</v>
      </c>
      <c r="F104" s="18">
        <v>63</v>
      </c>
      <c r="G104" s="18">
        <v>1</v>
      </c>
      <c r="H104" s="18"/>
      <c r="I104" s="18"/>
      <c r="J104" s="18" t="s">
        <v>24</v>
      </c>
      <c r="K104" s="18" t="s">
        <v>25</v>
      </c>
      <c r="L104" s="8" t="s">
        <v>119</v>
      </c>
      <c r="M104" s="8" t="s">
        <v>120</v>
      </c>
    </row>
    <row r="105" spans="1:13">
      <c r="A105" s="18" t="s">
        <v>83</v>
      </c>
      <c r="B105" s="18" t="s">
        <v>29</v>
      </c>
      <c r="C105" s="18" t="s">
        <v>36</v>
      </c>
      <c r="D105" s="31" t="s">
        <v>84</v>
      </c>
      <c r="E105" s="8" t="s">
        <v>121</v>
      </c>
      <c r="F105" s="8">
        <v>63</v>
      </c>
      <c r="G105" s="8">
        <v>1</v>
      </c>
      <c r="H105" s="8"/>
      <c r="I105" s="8"/>
      <c r="J105" s="8" t="s">
        <v>24</v>
      </c>
      <c r="K105" s="8" t="s">
        <v>55</v>
      </c>
      <c r="L105" s="8" t="s">
        <v>119</v>
      </c>
      <c r="M105" s="8" t="s">
        <v>120</v>
      </c>
    </row>
    <row r="106" spans="1:13">
      <c r="A106" s="18" t="s">
        <v>53</v>
      </c>
      <c r="B106" s="18" t="s">
        <v>29</v>
      </c>
      <c r="C106" s="18" t="s">
        <v>42</v>
      </c>
      <c r="D106" s="31" t="s">
        <v>54</v>
      </c>
      <c r="E106" s="18" t="s">
        <v>121</v>
      </c>
      <c r="F106" s="18">
        <v>63</v>
      </c>
      <c r="G106" s="18">
        <v>1</v>
      </c>
      <c r="H106" s="18"/>
      <c r="I106" s="18"/>
      <c r="J106" s="18" t="s">
        <v>24</v>
      </c>
      <c r="K106" s="18" t="s">
        <v>25</v>
      </c>
      <c r="L106" s="8" t="s">
        <v>119</v>
      </c>
      <c r="M106" s="8" t="s">
        <v>120</v>
      </c>
    </row>
    <row r="107" spans="1:13">
      <c r="A107" s="18" t="s">
        <v>88</v>
      </c>
      <c r="B107" s="18" t="s">
        <v>35</v>
      </c>
      <c r="C107" s="18" t="s">
        <v>21</v>
      </c>
      <c r="D107" s="31" t="s">
        <v>89</v>
      </c>
      <c r="E107" s="18" t="s">
        <v>121</v>
      </c>
      <c r="F107" s="18">
        <v>63</v>
      </c>
      <c r="G107" s="18">
        <v>1</v>
      </c>
      <c r="H107" s="19"/>
      <c r="I107" s="19"/>
      <c r="J107" s="18" t="s">
        <v>24</v>
      </c>
      <c r="K107" s="18" t="s">
        <v>55</v>
      </c>
      <c r="L107" s="8" t="s">
        <v>119</v>
      </c>
      <c r="M107" s="8" t="s">
        <v>120</v>
      </c>
    </row>
    <row r="108" spans="1:13">
      <c r="A108" s="18" t="s">
        <v>41</v>
      </c>
      <c r="B108" s="18" t="s">
        <v>35</v>
      </c>
      <c r="C108" s="18" t="s">
        <v>42</v>
      </c>
      <c r="D108" s="31" t="s">
        <v>43</v>
      </c>
      <c r="E108" s="18" t="s">
        <v>121</v>
      </c>
      <c r="F108" s="18">
        <v>63</v>
      </c>
      <c r="G108" s="18">
        <v>1</v>
      </c>
      <c r="H108" s="18"/>
      <c r="I108" s="18"/>
      <c r="J108" s="18" t="s">
        <v>24</v>
      </c>
      <c r="K108" s="18" t="s">
        <v>25</v>
      </c>
      <c r="L108" s="8" t="s">
        <v>119</v>
      </c>
      <c r="M108" s="8" t="s">
        <v>120</v>
      </c>
    </row>
    <row r="109" spans="1:13">
      <c r="A109" s="18" t="s">
        <v>56</v>
      </c>
      <c r="B109" s="18" t="s">
        <v>45</v>
      </c>
      <c r="C109" s="18" t="s">
        <v>21</v>
      </c>
      <c r="D109" s="31" t="s">
        <v>57</v>
      </c>
      <c r="E109" s="18" t="s">
        <v>122</v>
      </c>
      <c r="F109" s="18">
        <v>64</v>
      </c>
      <c r="G109" s="18">
        <v>1</v>
      </c>
      <c r="H109" s="18"/>
      <c r="I109" s="18"/>
      <c r="J109" s="18" t="s">
        <v>24</v>
      </c>
      <c r="K109" s="18" t="s">
        <v>55</v>
      </c>
      <c r="L109" s="8" t="s">
        <v>119</v>
      </c>
      <c r="M109" s="8" t="s">
        <v>120</v>
      </c>
    </row>
    <row r="110" spans="1:13">
      <c r="A110" s="18" t="s">
        <v>90</v>
      </c>
      <c r="B110" s="18" t="s">
        <v>45</v>
      </c>
      <c r="C110" s="18" t="s">
        <v>61</v>
      </c>
      <c r="D110" s="31" t="s">
        <v>91</v>
      </c>
      <c r="E110" s="18" t="s">
        <v>122</v>
      </c>
      <c r="F110" s="18">
        <v>64</v>
      </c>
      <c r="G110" s="18">
        <v>1</v>
      </c>
      <c r="H110" s="18"/>
      <c r="I110" s="18"/>
      <c r="J110" s="18" t="s">
        <v>24</v>
      </c>
      <c r="K110" s="18" t="s">
        <v>25</v>
      </c>
      <c r="L110" s="8" t="s">
        <v>119</v>
      </c>
      <c r="M110" s="8" t="s">
        <v>120</v>
      </c>
    </row>
    <row r="111" spans="1:13">
      <c r="A111" s="18" t="s">
        <v>64</v>
      </c>
      <c r="B111" s="18" t="s">
        <v>45</v>
      </c>
      <c r="C111" s="18" t="s">
        <v>36</v>
      </c>
      <c r="D111" s="31" t="s">
        <v>65</v>
      </c>
      <c r="E111" s="18" t="s">
        <v>122</v>
      </c>
      <c r="F111" s="18">
        <v>64</v>
      </c>
      <c r="G111" s="18">
        <v>1</v>
      </c>
      <c r="H111" s="18"/>
      <c r="I111" s="18"/>
      <c r="J111" s="18" t="s">
        <v>24</v>
      </c>
      <c r="K111" s="18" t="s">
        <v>25</v>
      </c>
      <c r="L111" s="8" t="s">
        <v>119</v>
      </c>
      <c r="M111" s="8" t="s">
        <v>120</v>
      </c>
    </row>
    <row r="112" spans="1:13">
      <c r="A112" s="18" t="s">
        <v>44</v>
      </c>
      <c r="B112" s="18" t="s">
        <v>45</v>
      </c>
      <c r="C112" s="18" t="s">
        <v>42</v>
      </c>
      <c r="D112" s="31" t="s">
        <v>46</v>
      </c>
      <c r="E112" s="18" t="s">
        <v>122</v>
      </c>
      <c r="F112" s="18">
        <v>64</v>
      </c>
      <c r="G112" s="18">
        <v>1</v>
      </c>
      <c r="H112" s="18"/>
      <c r="I112" s="18"/>
      <c r="J112" s="18" t="s">
        <v>24</v>
      </c>
      <c r="K112" s="18" t="s">
        <v>25</v>
      </c>
      <c r="L112" s="8" t="s">
        <v>119</v>
      </c>
      <c r="M112" s="8" t="s">
        <v>120</v>
      </c>
    </row>
    <row r="113" spans="1:13">
      <c r="A113" s="18" t="s">
        <v>19</v>
      </c>
      <c r="B113" s="18" t="s">
        <v>20</v>
      </c>
      <c r="C113" s="18" t="s">
        <v>21</v>
      </c>
      <c r="D113" s="31" t="s">
        <v>22</v>
      </c>
      <c r="E113" s="18" t="s">
        <v>122</v>
      </c>
      <c r="F113" s="18">
        <v>64</v>
      </c>
      <c r="G113" s="18">
        <v>1</v>
      </c>
      <c r="H113" s="19"/>
      <c r="I113" s="19"/>
      <c r="J113" s="18" t="s">
        <v>24</v>
      </c>
      <c r="K113" s="18" t="s">
        <v>55</v>
      </c>
      <c r="L113" s="8" t="s">
        <v>119</v>
      </c>
      <c r="M113" s="8" t="s">
        <v>120</v>
      </c>
    </row>
    <row r="114" spans="1:13">
      <c r="A114" s="18" t="s">
        <v>69</v>
      </c>
      <c r="B114" s="18" t="s">
        <v>20</v>
      </c>
      <c r="C114" s="18" t="s">
        <v>61</v>
      </c>
      <c r="D114" s="31" t="s">
        <v>70</v>
      </c>
      <c r="E114" s="18" t="s">
        <v>122</v>
      </c>
      <c r="F114" s="18">
        <v>64</v>
      </c>
      <c r="G114" s="18">
        <v>1</v>
      </c>
      <c r="H114" s="19"/>
      <c r="I114" s="19"/>
      <c r="J114" s="18" t="s">
        <v>24</v>
      </c>
      <c r="K114" s="18" t="s">
        <v>25</v>
      </c>
      <c r="L114" s="8" t="s">
        <v>119</v>
      </c>
      <c r="M114" s="8" t="s">
        <v>120</v>
      </c>
    </row>
    <row r="115" spans="1:13">
      <c r="A115" s="18" t="s">
        <v>75</v>
      </c>
      <c r="B115" s="18" t="s">
        <v>20</v>
      </c>
      <c r="C115" s="18" t="s">
        <v>36</v>
      </c>
      <c r="D115" s="31" t="s">
        <v>76</v>
      </c>
      <c r="E115" s="18" t="s">
        <v>122</v>
      </c>
      <c r="F115" s="18">
        <v>64</v>
      </c>
      <c r="G115" s="18">
        <v>1</v>
      </c>
      <c r="H115" s="18"/>
      <c r="I115" s="18"/>
      <c r="J115" s="18" t="s">
        <v>24</v>
      </c>
      <c r="K115" s="18" t="s">
        <v>25</v>
      </c>
      <c r="L115" s="8" t="s">
        <v>119</v>
      </c>
      <c r="M115" s="8" t="s">
        <v>120</v>
      </c>
    </row>
    <row r="116" spans="1:13">
      <c r="A116" s="18" t="s">
        <v>51</v>
      </c>
      <c r="B116" s="18" t="s">
        <v>20</v>
      </c>
      <c r="C116" s="18" t="s">
        <v>42</v>
      </c>
      <c r="D116" s="31" t="s">
        <v>52</v>
      </c>
      <c r="E116" s="18" t="s">
        <v>122</v>
      </c>
      <c r="F116" s="18">
        <v>64</v>
      </c>
      <c r="G116" s="18">
        <v>1</v>
      </c>
      <c r="H116" s="18"/>
      <c r="I116" s="18"/>
      <c r="J116" s="18" t="s">
        <v>24</v>
      </c>
      <c r="K116" s="18" t="s">
        <v>55</v>
      </c>
      <c r="L116" s="8" t="s">
        <v>119</v>
      </c>
      <c r="M116" s="8" t="s">
        <v>120</v>
      </c>
    </row>
    <row r="117" spans="1:13">
      <c r="A117" s="18" t="s">
        <v>28</v>
      </c>
      <c r="B117" s="18" t="s">
        <v>29</v>
      </c>
      <c r="C117" s="18" t="s">
        <v>21</v>
      </c>
      <c r="D117" s="31" t="s">
        <v>30</v>
      </c>
      <c r="E117" s="18" t="s">
        <v>122</v>
      </c>
      <c r="F117" s="18">
        <v>64</v>
      </c>
      <c r="G117" s="18">
        <v>1</v>
      </c>
      <c r="H117" s="18"/>
      <c r="I117" s="18"/>
      <c r="J117" s="18" t="s">
        <v>24</v>
      </c>
      <c r="K117" s="18" t="s">
        <v>55</v>
      </c>
      <c r="L117" s="8" t="s">
        <v>119</v>
      </c>
      <c r="M117" s="8" t="s">
        <v>120</v>
      </c>
    </row>
    <row r="118" spans="1:13">
      <c r="A118" s="18" t="s">
        <v>77</v>
      </c>
      <c r="B118" s="18" t="s">
        <v>29</v>
      </c>
      <c r="C118" s="18" t="s">
        <v>61</v>
      </c>
      <c r="D118" s="31" t="s">
        <v>78</v>
      </c>
      <c r="E118" s="18" t="s">
        <v>122</v>
      </c>
      <c r="F118" s="18">
        <v>64</v>
      </c>
      <c r="G118" s="18">
        <v>1</v>
      </c>
      <c r="H118" s="19"/>
      <c r="I118" s="19"/>
      <c r="J118" s="18" t="s">
        <v>24</v>
      </c>
      <c r="K118" s="18" t="s">
        <v>25</v>
      </c>
      <c r="L118" s="8" t="s">
        <v>119</v>
      </c>
      <c r="M118" s="8" t="s">
        <v>120</v>
      </c>
    </row>
    <row r="119" spans="1:13">
      <c r="A119" s="18" t="s">
        <v>83</v>
      </c>
      <c r="B119" s="18" t="s">
        <v>29</v>
      </c>
      <c r="C119" s="18" t="s">
        <v>36</v>
      </c>
      <c r="D119" s="31" t="s">
        <v>84</v>
      </c>
      <c r="E119" s="8" t="s">
        <v>122</v>
      </c>
      <c r="F119" s="8">
        <v>64</v>
      </c>
      <c r="G119" s="8">
        <v>2</v>
      </c>
      <c r="H119" s="8">
        <v>80299</v>
      </c>
      <c r="I119" s="8" t="s">
        <v>32</v>
      </c>
      <c r="J119" s="8" t="s">
        <v>24</v>
      </c>
      <c r="K119" s="8" t="s">
        <v>33</v>
      </c>
      <c r="L119" s="8" t="s">
        <v>119</v>
      </c>
      <c r="M119" s="8" t="s">
        <v>120</v>
      </c>
    </row>
    <row r="120" spans="1:13">
      <c r="A120" s="18" t="s">
        <v>88</v>
      </c>
      <c r="B120" s="18" t="s">
        <v>35</v>
      </c>
      <c r="C120" s="18" t="s">
        <v>21</v>
      </c>
      <c r="D120" s="31" t="s">
        <v>89</v>
      </c>
      <c r="E120" s="18" t="s">
        <v>122</v>
      </c>
      <c r="F120" s="18">
        <v>64</v>
      </c>
      <c r="G120" s="18">
        <v>2</v>
      </c>
      <c r="H120" s="19">
        <v>55657</v>
      </c>
      <c r="I120" s="19" t="s">
        <v>32</v>
      </c>
      <c r="J120" s="18" t="s">
        <v>24</v>
      </c>
      <c r="K120" s="18" t="s">
        <v>33</v>
      </c>
      <c r="L120" s="8" t="s">
        <v>119</v>
      </c>
      <c r="M120" s="8" t="s">
        <v>120</v>
      </c>
    </row>
    <row r="121" spans="1:13">
      <c r="A121" s="18" t="s">
        <v>41</v>
      </c>
      <c r="B121" s="18" t="s">
        <v>35</v>
      </c>
      <c r="C121" s="18" t="s">
        <v>42</v>
      </c>
      <c r="D121" s="31" t="s">
        <v>43</v>
      </c>
      <c r="E121" s="18" t="s">
        <v>122</v>
      </c>
      <c r="F121" s="18">
        <v>64</v>
      </c>
      <c r="G121" s="18">
        <v>1</v>
      </c>
      <c r="H121" s="19"/>
      <c r="I121" s="19"/>
      <c r="J121" s="18" t="s">
        <v>24</v>
      </c>
      <c r="K121" s="18" t="s">
        <v>55</v>
      </c>
      <c r="L121" s="8" t="s">
        <v>119</v>
      </c>
      <c r="M121" s="8" t="s">
        <v>120</v>
      </c>
    </row>
    <row r="122" spans="1:13">
      <c r="A122" s="18" t="s">
        <v>56</v>
      </c>
      <c r="B122" s="18" t="s">
        <v>45</v>
      </c>
      <c r="C122" s="18" t="s">
        <v>21</v>
      </c>
      <c r="D122" s="31" t="s">
        <v>57</v>
      </c>
      <c r="E122" s="18" t="s">
        <v>123</v>
      </c>
      <c r="F122" s="18">
        <v>68</v>
      </c>
      <c r="G122" s="18">
        <v>1</v>
      </c>
      <c r="H122" s="18"/>
      <c r="I122" s="18"/>
      <c r="J122" s="18" t="s">
        <v>24</v>
      </c>
      <c r="K122" s="18" t="s">
        <v>55</v>
      </c>
      <c r="L122" s="8" t="s">
        <v>110</v>
      </c>
      <c r="M122" s="8" t="s">
        <v>111</v>
      </c>
    </row>
    <row r="123" spans="1:13">
      <c r="A123" s="18" t="s">
        <v>44</v>
      </c>
      <c r="B123" s="18" t="s">
        <v>45</v>
      </c>
      <c r="C123" s="18" t="s">
        <v>42</v>
      </c>
      <c r="D123" s="31" t="s">
        <v>46</v>
      </c>
      <c r="E123" s="18" t="s">
        <v>123</v>
      </c>
      <c r="F123" s="18">
        <v>68</v>
      </c>
      <c r="G123" s="18">
        <v>1</v>
      </c>
      <c r="H123" s="18"/>
      <c r="I123" s="18"/>
      <c r="J123" s="18" t="s">
        <v>24</v>
      </c>
      <c r="K123" s="18" t="s">
        <v>55</v>
      </c>
      <c r="L123" s="8" t="s">
        <v>110</v>
      </c>
      <c r="M123" s="8" t="s">
        <v>111</v>
      </c>
    </row>
    <row r="124" spans="1:13">
      <c r="A124" s="18" t="s">
        <v>19</v>
      </c>
      <c r="B124" s="18" t="s">
        <v>20</v>
      </c>
      <c r="C124" s="18" t="s">
        <v>21</v>
      </c>
      <c r="D124" s="31" t="s">
        <v>22</v>
      </c>
      <c r="E124" s="18" t="s">
        <v>123</v>
      </c>
      <c r="F124" s="18">
        <v>68</v>
      </c>
      <c r="G124" s="18">
        <v>1</v>
      </c>
      <c r="H124" s="18"/>
      <c r="I124" s="18"/>
      <c r="J124" s="18" t="s">
        <v>24</v>
      </c>
      <c r="K124" s="18" t="s">
        <v>25</v>
      </c>
      <c r="L124" s="8" t="s">
        <v>110</v>
      </c>
      <c r="M124" s="8" t="s">
        <v>111</v>
      </c>
    </row>
    <row r="125" spans="1:13">
      <c r="A125" s="18" t="s">
        <v>51</v>
      </c>
      <c r="B125" s="18" t="s">
        <v>20</v>
      </c>
      <c r="C125" s="18" t="s">
        <v>42</v>
      </c>
      <c r="D125" s="31" t="s">
        <v>52</v>
      </c>
      <c r="E125" s="18" t="s">
        <v>123</v>
      </c>
      <c r="F125" s="18">
        <v>68</v>
      </c>
      <c r="G125" s="18">
        <v>1</v>
      </c>
      <c r="H125" s="18"/>
      <c r="I125" s="18"/>
      <c r="J125" s="18" t="s">
        <v>24</v>
      </c>
      <c r="K125" s="18" t="s">
        <v>55</v>
      </c>
      <c r="L125" s="8" t="s">
        <v>110</v>
      </c>
      <c r="M125" s="8" t="s">
        <v>111</v>
      </c>
    </row>
    <row r="126" spans="1:13">
      <c r="A126" s="18" t="s">
        <v>28</v>
      </c>
      <c r="B126" s="18" t="s">
        <v>29</v>
      </c>
      <c r="C126" s="18" t="s">
        <v>21</v>
      </c>
      <c r="D126" s="31" t="s">
        <v>30</v>
      </c>
      <c r="E126" s="18" t="s">
        <v>123</v>
      </c>
      <c r="F126" s="18">
        <v>68</v>
      </c>
      <c r="G126" s="18">
        <v>1</v>
      </c>
      <c r="H126" s="18"/>
      <c r="I126" s="18"/>
      <c r="J126" s="18" t="s">
        <v>24</v>
      </c>
      <c r="K126" s="18" t="s">
        <v>55</v>
      </c>
      <c r="L126" s="8" t="s">
        <v>110</v>
      </c>
      <c r="M126" s="8" t="s">
        <v>111</v>
      </c>
    </row>
    <row r="127" spans="1:13">
      <c r="A127" s="18" t="s">
        <v>88</v>
      </c>
      <c r="B127" s="18" t="s">
        <v>35</v>
      </c>
      <c r="C127" s="18" t="s">
        <v>21</v>
      </c>
      <c r="D127" s="31" t="s">
        <v>89</v>
      </c>
      <c r="E127" s="18" t="s">
        <v>123</v>
      </c>
      <c r="F127" s="18">
        <v>68</v>
      </c>
      <c r="G127" s="18">
        <v>1</v>
      </c>
      <c r="H127" s="18"/>
      <c r="I127" s="18"/>
      <c r="J127" s="18" t="s">
        <v>24</v>
      </c>
      <c r="K127" s="18" t="s">
        <v>25</v>
      </c>
      <c r="L127" s="8" t="s">
        <v>110</v>
      </c>
      <c r="M127" s="8" t="s">
        <v>111</v>
      </c>
    </row>
    <row r="128" spans="1:13">
      <c r="A128" s="18" t="s">
        <v>60</v>
      </c>
      <c r="B128" s="18" t="s">
        <v>35</v>
      </c>
      <c r="C128" s="18" t="s">
        <v>61</v>
      </c>
      <c r="D128" s="31" t="s">
        <v>62</v>
      </c>
      <c r="E128" s="18" t="s">
        <v>123</v>
      </c>
      <c r="F128" s="18">
        <v>68</v>
      </c>
      <c r="G128" s="18">
        <v>2</v>
      </c>
      <c r="H128" s="19">
        <v>77632</v>
      </c>
      <c r="I128" s="19" t="s">
        <v>48</v>
      </c>
      <c r="J128" s="18" t="s">
        <v>24</v>
      </c>
      <c r="K128" s="18" t="s">
        <v>33</v>
      </c>
      <c r="L128" s="8" t="s">
        <v>110</v>
      </c>
      <c r="M128" s="8" t="s">
        <v>111</v>
      </c>
    </row>
    <row r="129" spans="1:13">
      <c r="A129" s="18" t="s">
        <v>34</v>
      </c>
      <c r="B129" s="18" t="s">
        <v>35</v>
      </c>
      <c r="C129" s="18" t="s">
        <v>36</v>
      </c>
      <c r="D129" s="31" t="s">
        <v>37</v>
      </c>
      <c r="E129" s="18" t="s">
        <v>123</v>
      </c>
      <c r="F129" s="18">
        <v>68</v>
      </c>
      <c r="G129" s="18">
        <v>1</v>
      </c>
      <c r="H129" s="19"/>
      <c r="I129" s="19"/>
      <c r="J129" s="18" t="s">
        <v>24</v>
      </c>
      <c r="K129" s="18" t="s">
        <v>55</v>
      </c>
      <c r="L129" s="8" t="s">
        <v>110</v>
      </c>
      <c r="M129" s="8" t="s">
        <v>111</v>
      </c>
    </row>
    <row r="130" spans="1:13">
      <c r="A130" s="18" t="s">
        <v>41</v>
      </c>
      <c r="B130" s="18" t="s">
        <v>35</v>
      </c>
      <c r="C130" s="18" t="s">
        <v>42</v>
      </c>
      <c r="D130" s="31" t="s">
        <v>43</v>
      </c>
      <c r="E130" s="18" t="s">
        <v>123</v>
      </c>
      <c r="F130" s="18">
        <v>68</v>
      </c>
      <c r="G130" s="18">
        <v>1</v>
      </c>
      <c r="H130" s="19"/>
      <c r="I130" s="19"/>
      <c r="J130" s="18" t="s">
        <v>24</v>
      </c>
      <c r="K130" s="18" t="s">
        <v>25</v>
      </c>
      <c r="L130" s="8" t="s">
        <v>110</v>
      </c>
      <c r="M130" s="8" t="s">
        <v>111</v>
      </c>
    </row>
    <row r="131" spans="1:13">
      <c r="A131" s="18" t="s">
        <v>75</v>
      </c>
      <c r="B131" s="18" t="s">
        <v>20</v>
      </c>
      <c r="C131" s="18" t="s">
        <v>36</v>
      </c>
      <c r="D131" s="31" t="s">
        <v>76</v>
      </c>
      <c r="E131" s="18" t="s">
        <v>124</v>
      </c>
      <c r="F131" s="18">
        <v>69</v>
      </c>
      <c r="G131" s="18">
        <v>2</v>
      </c>
      <c r="H131" s="18">
        <v>36460</v>
      </c>
      <c r="I131" s="18" t="s">
        <v>48</v>
      </c>
      <c r="J131" s="18" t="s">
        <v>24</v>
      </c>
      <c r="K131" s="18" t="s">
        <v>33</v>
      </c>
      <c r="L131" s="8" t="s">
        <v>102</v>
      </c>
      <c r="M131" s="8" t="s">
        <v>103</v>
      </c>
    </row>
    <row r="132" spans="1:13">
      <c r="A132" s="18" t="s">
        <v>51</v>
      </c>
      <c r="B132" s="18" t="s">
        <v>20</v>
      </c>
      <c r="C132" s="18" t="s">
        <v>42</v>
      </c>
      <c r="D132" s="31" t="s">
        <v>52</v>
      </c>
      <c r="E132" s="18" t="s">
        <v>124</v>
      </c>
      <c r="F132" s="18">
        <v>69</v>
      </c>
      <c r="G132" s="18">
        <v>1</v>
      </c>
      <c r="H132" s="18"/>
      <c r="I132" s="18"/>
      <c r="J132" s="18" t="s">
        <v>24</v>
      </c>
      <c r="K132" s="18" t="s">
        <v>25</v>
      </c>
      <c r="L132" s="8" t="s">
        <v>102</v>
      </c>
      <c r="M132" s="8" t="s">
        <v>103</v>
      </c>
    </row>
    <row r="133" spans="1:13">
      <c r="A133" s="18" t="s">
        <v>77</v>
      </c>
      <c r="B133" s="18" t="s">
        <v>29</v>
      </c>
      <c r="C133" s="18" t="s">
        <v>61</v>
      </c>
      <c r="D133" s="31" t="s">
        <v>78</v>
      </c>
      <c r="E133" s="18" t="s">
        <v>124</v>
      </c>
      <c r="F133" s="18">
        <v>69</v>
      </c>
      <c r="G133" s="18">
        <v>2</v>
      </c>
      <c r="H133" s="19">
        <v>37781</v>
      </c>
      <c r="I133" s="19" t="s">
        <v>32</v>
      </c>
      <c r="J133" s="18" t="s">
        <v>24</v>
      </c>
      <c r="K133" s="18" t="s">
        <v>33</v>
      </c>
      <c r="L133" s="8" t="s">
        <v>102</v>
      </c>
      <c r="M133" s="8" t="s">
        <v>103</v>
      </c>
    </row>
    <row r="134" spans="1:13">
      <c r="A134" s="18" t="s">
        <v>53</v>
      </c>
      <c r="B134" s="18" t="s">
        <v>29</v>
      </c>
      <c r="C134" s="18" t="s">
        <v>42</v>
      </c>
      <c r="D134" s="31" t="s">
        <v>54</v>
      </c>
      <c r="E134" s="18" t="s">
        <v>124</v>
      </c>
      <c r="F134" s="18">
        <v>69</v>
      </c>
      <c r="G134" s="18">
        <v>1</v>
      </c>
      <c r="H134" s="19"/>
      <c r="I134" s="19"/>
      <c r="J134" s="18" t="s">
        <v>24</v>
      </c>
      <c r="K134" s="18" t="s">
        <v>25</v>
      </c>
      <c r="L134" s="8" t="s">
        <v>102</v>
      </c>
      <c r="M134" s="8" t="s">
        <v>103</v>
      </c>
    </row>
    <row r="135" spans="1:13">
      <c r="A135" s="18" t="s">
        <v>88</v>
      </c>
      <c r="B135" s="18" t="s">
        <v>35</v>
      </c>
      <c r="C135" s="18" t="s">
        <v>21</v>
      </c>
      <c r="D135" s="31" t="s">
        <v>89</v>
      </c>
      <c r="E135" s="18" t="s">
        <v>124</v>
      </c>
      <c r="F135" s="18">
        <v>69</v>
      </c>
      <c r="G135" s="18">
        <v>1</v>
      </c>
      <c r="H135" s="18"/>
      <c r="I135" s="18"/>
      <c r="J135" s="18" t="s">
        <v>24</v>
      </c>
      <c r="K135" s="18" t="s">
        <v>55</v>
      </c>
      <c r="L135" s="8" t="s">
        <v>102</v>
      </c>
      <c r="M135" s="8" t="s">
        <v>103</v>
      </c>
    </row>
    <row r="136" spans="1:13">
      <c r="A136" s="18" t="s">
        <v>60</v>
      </c>
      <c r="B136" s="18" t="s">
        <v>35</v>
      </c>
      <c r="C136" s="18" t="s">
        <v>61</v>
      </c>
      <c r="D136" s="31" t="s">
        <v>62</v>
      </c>
      <c r="E136" s="18" t="s">
        <v>124</v>
      </c>
      <c r="F136" s="18">
        <v>69</v>
      </c>
      <c r="G136" s="18">
        <v>1</v>
      </c>
      <c r="H136" s="19"/>
      <c r="I136" s="19"/>
      <c r="J136" s="18" t="s">
        <v>24</v>
      </c>
      <c r="K136" s="18" t="s">
        <v>25</v>
      </c>
      <c r="L136" s="8" t="s">
        <v>102</v>
      </c>
      <c r="M136" s="8" t="s">
        <v>103</v>
      </c>
    </row>
    <row r="137" spans="1:13">
      <c r="A137" s="18" t="s">
        <v>34</v>
      </c>
      <c r="B137" s="18" t="s">
        <v>35</v>
      </c>
      <c r="C137" s="18" t="s">
        <v>36</v>
      </c>
      <c r="D137" s="31" t="s">
        <v>37</v>
      </c>
      <c r="E137" s="18" t="s">
        <v>124</v>
      </c>
      <c r="F137" s="18">
        <v>69</v>
      </c>
      <c r="G137" s="18">
        <v>1</v>
      </c>
      <c r="H137" s="19"/>
      <c r="I137" s="19"/>
      <c r="J137" s="18" t="s">
        <v>24</v>
      </c>
      <c r="K137" s="18" t="s">
        <v>55</v>
      </c>
      <c r="L137" s="8" t="s">
        <v>102</v>
      </c>
      <c r="M137" s="8" t="s">
        <v>103</v>
      </c>
    </row>
    <row r="138" spans="1:13">
      <c r="A138" s="18" t="s">
        <v>41</v>
      </c>
      <c r="B138" s="18" t="s">
        <v>35</v>
      </c>
      <c r="C138" s="18" t="s">
        <v>42</v>
      </c>
      <c r="D138" s="31" t="s">
        <v>43</v>
      </c>
      <c r="E138" s="18" t="s">
        <v>124</v>
      </c>
      <c r="F138" s="18">
        <v>69</v>
      </c>
      <c r="G138" s="18">
        <v>1</v>
      </c>
      <c r="H138" s="18"/>
      <c r="I138" s="18"/>
      <c r="J138" s="18" t="s">
        <v>24</v>
      </c>
      <c r="K138" s="18" t="s">
        <v>55</v>
      </c>
      <c r="L138" s="8" t="s">
        <v>102</v>
      </c>
      <c r="M138" s="8" t="s">
        <v>103</v>
      </c>
    </row>
    <row r="139" spans="1:13">
      <c r="A139" s="18" t="s">
        <v>56</v>
      </c>
      <c r="B139" s="18" t="s">
        <v>45</v>
      </c>
      <c r="C139" s="18" t="s">
        <v>21</v>
      </c>
      <c r="D139" s="31" t="s">
        <v>57</v>
      </c>
      <c r="E139" s="18" t="s">
        <v>125</v>
      </c>
      <c r="F139" s="18">
        <v>72</v>
      </c>
      <c r="G139" s="18">
        <v>1</v>
      </c>
      <c r="H139" s="18"/>
      <c r="I139" s="18"/>
      <c r="J139" s="18" t="s">
        <v>24</v>
      </c>
      <c r="K139" s="18" t="s">
        <v>55</v>
      </c>
      <c r="L139" s="8" t="s">
        <v>96</v>
      </c>
      <c r="M139" s="8" t="s">
        <v>97</v>
      </c>
    </row>
    <row r="140" spans="1:13">
      <c r="A140" s="18" t="s">
        <v>90</v>
      </c>
      <c r="B140" s="18" t="s">
        <v>45</v>
      </c>
      <c r="C140" s="18" t="s">
        <v>61</v>
      </c>
      <c r="D140" s="31" t="s">
        <v>91</v>
      </c>
      <c r="E140" s="18" t="s">
        <v>125</v>
      </c>
      <c r="F140" s="18">
        <v>72</v>
      </c>
      <c r="G140" s="18">
        <v>1</v>
      </c>
      <c r="H140" s="18"/>
      <c r="I140" s="18"/>
      <c r="J140" s="18" t="s">
        <v>24</v>
      </c>
      <c r="K140" s="18" t="s">
        <v>25</v>
      </c>
      <c r="L140" s="8" t="s">
        <v>96</v>
      </c>
      <c r="M140" s="8" t="s">
        <v>97</v>
      </c>
    </row>
    <row r="141" spans="1:13">
      <c r="A141" s="18" t="s">
        <v>64</v>
      </c>
      <c r="B141" s="18" t="s">
        <v>45</v>
      </c>
      <c r="C141" s="18" t="s">
        <v>36</v>
      </c>
      <c r="D141" s="31" t="s">
        <v>65</v>
      </c>
      <c r="E141" s="18" t="s">
        <v>125</v>
      </c>
      <c r="F141" s="18">
        <v>72</v>
      </c>
      <c r="G141" s="18">
        <v>1</v>
      </c>
      <c r="H141" s="18"/>
      <c r="I141" s="18"/>
      <c r="J141" s="18" t="s">
        <v>24</v>
      </c>
      <c r="K141" s="18" t="s">
        <v>25</v>
      </c>
      <c r="L141" s="8" t="s">
        <v>96</v>
      </c>
      <c r="M141" s="8" t="s">
        <v>97</v>
      </c>
    </row>
    <row r="142" spans="1:13">
      <c r="A142" s="18" t="s">
        <v>28</v>
      </c>
      <c r="B142" s="18" t="s">
        <v>29</v>
      </c>
      <c r="C142" s="18" t="s">
        <v>21</v>
      </c>
      <c r="D142" s="31" t="s">
        <v>30</v>
      </c>
      <c r="E142" s="18" t="s">
        <v>125</v>
      </c>
      <c r="F142" s="18">
        <v>72</v>
      </c>
      <c r="G142" s="18">
        <v>1</v>
      </c>
      <c r="H142" s="18"/>
      <c r="I142" s="18"/>
      <c r="J142" s="18" t="s">
        <v>24</v>
      </c>
      <c r="K142" s="18" t="s">
        <v>55</v>
      </c>
      <c r="L142" s="8" t="s">
        <v>96</v>
      </c>
      <c r="M142" s="8" t="s">
        <v>97</v>
      </c>
    </row>
    <row r="143" spans="1:13">
      <c r="A143" s="18" t="s">
        <v>77</v>
      </c>
      <c r="B143" s="18" t="s">
        <v>29</v>
      </c>
      <c r="C143" s="18" t="s">
        <v>61</v>
      </c>
      <c r="D143" s="31" t="s">
        <v>78</v>
      </c>
      <c r="E143" s="18" t="s">
        <v>125</v>
      </c>
      <c r="F143" s="18">
        <v>72</v>
      </c>
      <c r="G143" s="18">
        <v>1</v>
      </c>
      <c r="H143" s="19"/>
      <c r="I143" s="19"/>
      <c r="J143" s="18" t="s">
        <v>24</v>
      </c>
      <c r="K143" s="18" t="s">
        <v>25</v>
      </c>
      <c r="L143" s="8" t="s">
        <v>96</v>
      </c>
      <c r="M143" s="8" t="s">
        <v>97</v>
      </c>
    </row>
    <row r="144" spans="1:13">
      <c r="A144" s="18" t="s">
        <v>83</v>
      </c>
      <c r="B144" s="18" t="s">
        <v>29</v>
      </c>
      <c r="C144" s="18" t="s">
        <v>36</v>
      </c>
      <c r="D144" s="31" t="s">
        <v>84</v>
      </c>
      <c r="E144" s="8" t="s">
        <v>125</v>
      </c>
      <c r="F144" s="8">
        <v>72</v>
      </c>
      <c r="G144" s="8">
        <v>1</v>
      </c>
      <c r="H144" s="7"/>
      <c r="I144" s="7"/>
      <c r="J144" s="8" t="s">
        <v>24</v>
      </c>
      <c r="K144" s="8" t="s">
        <v>55</v>
      </c>
      <c r="L144" s="8" t="s">
        <v>96</v>
      </c>
      <c r="M144" s="8" t="s">
        <v>97</v>
      </c>
    </row>
    <row r="145" spans="1:13">
      <c r="A145" s="18" t="s">
        <v>88</v>
      </c>
      <c r="B145" s="18" t="s">
        <v>35</v>
      </c>
      <c r="C145" s="18" t="s">
        <v>21</v>
      </c>
      <c r="D145" s="31" t="s">
        <v>89</v>
      </c>
      <c r="E145" s="18" t="s">
        <v>125</v>
      </c>
      <c r="F145" s="18">
        <v>72</v>
      </c>
      <c r="G145" s="18">
        <v>1</v>
      </c>
      <c r="H145" s="19"/>
      <c r="I145" s="19"/>
      <c r="J145" s="18" t="s">
        <v>24</v>
      </c>
      <c r="K145" s="18" t="s">
        <v>25</v>
      </c>
      <c r="L145" s="8" t="s">
        <v>96</v>
      </c>
      <c r="M145" s="8" t="s">
        <v>97</v>
      </c>
    </row>
    <row r="146" spans="1:13">
      <c r="A146" s="18" t="s">
        <v>56</v>
      </c>
      <c r="B146" s="18" t="s">
        <v>45</v>
      </c>
      <c r="C146" s="18" t="s">
        <v>21</v>
      </c>
      <c r="D146" s="31" t="s">
        <v>57</v>
      </c>
      <c r="E146" s="18" t="s">
        <v>126</v>
      </c>
      <c r="F146" s="18">
        <v>77</v>
      </c>
      <c r="G146" s="18">
        <v>1</v>
      </c>
      <c r="H146" s="18"/>
      <c r="I146" s="18"/>
      <c r="J146" s="18" t="s">
        <v>24</v>
      </c>
      <c r="K146" s="18" t="s">
        <v>25</v>
      </c>
      <c r="L146" s="8" t="s">
        <v>96</v>
      </c>
      <c r="M146" s="8" t="s">
        <v>97</v>
      </c>
    </row>
    <row r="147" spans="1:13">
      <c r="A147" s="18" t="s">
        <v>69</v>
      </c>
      <c r="B147" s="18" t="s">
        <v>20</v>
      </c>
      <c r="C147" s="18" t="s">
        <v>61</v>
      </c>
      <c r="D147" s="31" t="s">
        <v>70</v>
      </c>
      <c r="E147" s="18" t="s">
        <v>126</v>
      </c>
      <c r="F147" s="18">
        <v>77</v>
      </c>
      <c r="G147" s="18">
        <v>2</v>
      </c>
      <c r="H147" s="19" t="s">
        <v>72</v>
      </c>
      <c r="I147" s="19" t="s">
        <v>48</v>
      </c>
      <c r="J147" s="18" t="s">
        <v>24</v>
      </c>
      <c r="K147" s="18" t="s">
        <v>33</v>
      </c>
      <c r="L147" s="8" t="s">
        <v>96</v>
      </c>
      <c r="M147" s="8" t="s">
        <v>97</v>
      </c>
    </row>
    <row r="148" spans="1:13">
      <c r="A148" s="18" t="s">
        <v>88</v>
      </c>
      <c r="B148" s="18" t="s">
        <v>35</v>
      </c>
      <c r="C148" s="18" t="s">
        <v>21</v>
      </c>
      <c r="D148" s="31" t="s">
        <v>89</v>
      </c>
      <c r="E148" s="18" t="s">
        <v>126</v>
      </c>
      <c r="F148" s="18">
        <v>77</v>
      </c>
      <c r="G148" s="18">
        <v>1</v>
      </c>
      <c r="H148" s="18"/>
      <c r="I148" s="18"/>
      <c r="J148" s="18" t="s">
        <v>24</v>
      </c>
      <c r="K148" s="18" t="s">
        <v>55</v>
      </c>
      <c r="L148" s="8" t="s">
        <v>96</v>
      </c>
      <c r="M148" s="8" t="s">
        <v>97</v>
      </c>
    </row>
    <row r="149" spans="1:13">
      <c r="A149" s="18" t="s">
        <v>90</v>
      </c>
      <c r="B149" s="18" t="s">
        <v>45</v>
      </c>
      <c r="C149" s="18" t="s">
        <v>61</v>
      </c>
      <c r="D149" s="31" t="s">
        <v>91</v>
      </c>
      <c r="E149" s="18" t="s">
        <v>127</v>
      </c>
      <c r="F149" s="18">
        <v>78</v>
      </c>
      <c r="G149" s="18">
        <v>1</v>
      </c>
      <c r="H149" s="18"/>
      <c r="I149" s="18"/>
      <c r="J149" s="18" t="s">
        <v>24</v>
      </c>
      <c r="K149" s="18" t="s">
        <v>55</v>
      </c>
      <c r="L149" s="8" t="s">
        <v>114</v>
      </c>
      <c r="M149" s="8" t="s">
        <v>115</v>
      </c>
    </row>
    <row r="150" spans="1:13">
      <c r="A150" s="18" t="s">
        <v>56</v>
      </c>
      <c r="B150" s="18" t="s">
        <v>45</v>
      </c>
      <c r="C150" s="18" t="s">
        <v>21</v>
      </c>
      <c r="D150" s="31" t="s">
        <v>57</v>
      </c>
      <c r="E150" s="18" t="s">
        <v>128</v>
      </c>
      <c r="F150" s="18">
        <v>81</v>
      </c>
      <c r="G150" s="18">
        <v>1</v>
      </c>
      <c r="H150" s="18"/>
      <c r="I150" s="18"/>
      <c r="J150" s="18" t="s">
        <v>24</v>
      </c>
      <c r="K150" s="18" t="s">
        <v>25</v>
      </c>
      <c r="L150" s="8" t="s">
        <v>73</v>
      </c>
      <c r="M150" s="8" t="s">
        <v>74</v>
      </c>
    </row>
    <row r="151" spans="1:13">
      <c r="A151" s="18" t="s">
        <v>90</v>
      </c>
      <c r="B151" s="18" t="s">
        <v>45</v>
      </c>
      <c r="C151" s="18" t="s">
        <v>61</v>
      </c>
      <c r="D151" s="31" t="s">
        <v>91</v>
      </c>
      <c r="E151" s="18" t="s">
        <v>128</v>
      </c>
      <c r="F151" s="18">
        <v>81</v>
      </c>
      <c r="G151" s="18">
        <v>1</v>
      </c>
      <c r="H151" s="18"/>
      <c r="I151" s="18"/>
      <c r="J151" s="18" t="s">
        <v>24</v>
      </c>
      <c r="K151" s="18" t="s">
        <v>25</v>
      </c>
      <c r="L151" s="8" t="s">
        <v>73</v>
      </c>
      <c r="M151" s="8" t="s">
        <v>74</v>
      </c>
    </row>
    <row r="152" spans="1:13">
      <c r="A152" s="18" t="s">
        <v>64</v>
      </c>
      <c r="B152" s="18" t="s">
        <v>45</v>
      </c>
      <c r="C152" s="18" t="s">
        <v>36</v>
      </c>
      <c r="D152" s="31" t="s">
        <v>65</v>
      </c>
      <c r="E152" s="18" t="s">
        <v>128</v>
      </c>
      <c r="F152" s="18">
        <v>81</v>
      </c>
      <c r="G152" s="18">
        <v>1</v>
      </c>
      <c r="H152" s="18"/>
      <c r="I152" s="18"/>
      <c r="J152" s="18" t="s">
        <v>24</v>
      </c>
      <c r="K152" s="18" t="s">
        <v>55</v>
      </c>
      <c r="L152" s="8" t="s">
        <v>73</v>
      </c>
      <c r="M152" s="8" t="s">
        <v>74</v>
      </c>
    </row>
    <row r="153" spans="1:13">
      <c r="A153" s="18" t="s">
        <v>44</v>
      </c>
      <c r="B153" s="18" t="s">
        <v>45</v>
      </c>
      <c r="C153" s="18" t="s">
        <v>42</v>
      </c>
      <c r="D153" s="31" t="s">
        <v>46</v>
      </c>
      <c r="E153" s="18" t="s">
        <v>128</v>
      </c>
      <c r="F153" s="18">
        <v>81</v>
      </c>
      <c r="G153" s="18">
        <v>1</v>
      </c>
      <c r="H153" s="18"/>
      <c r="I153" s="18"/>
      <c r="J153" s="18" t="s">
        <v>24</v>
      </c>
      <c r="K153" s="18" t="s">
        <v>25</v>
      </c>
      <c r="L153" s="8" t="s">
        <v>73</v>
      </c>
      <c r="M153" s="8" t="s">
        <v>74</v>
      </c>
    </row>
    <row r="154" spans="1:13">
      <c r="A154" s="18" t="s">
        <v>28</v>
      </c>
      <c r="B154" s="18" t="s">
        <v>29</v>
      </c>
      <c r="C154" s="18" t="s">
        <v>21</v>
      </c>
      <c r="D154" s="31" t="s">
        <v>30</v>
      </c>
      <c r="E154" s="18" t="s">
        <v>129</v>
      </c>
      <c r="F154" s="18">
        <v>86</v>
      </c>
      <c r="G154" s="18">
        <v>2</v>
      </c>
      <c r="H154" s="19">
        <v>18153</v>
      </c>
      <c r="I154" s="19" t="s">
        <v>32</v>
      </c>
      <c r="J154" s="18" t="s">
        <v>24</v>
      </c>
      <c r="K154" s="18" t="s">
        <v>33</v>
      </c>
      <c r="L154" s="8" t="s">
        <v>86</v>
      </c>
      <c r="M154" s="8" t="s">
        <v>87</v>
      </c>
    </row>
    <row r="155" spans="1:13">
      <c r="A155" s="18" t="s">
        <v>88</v>
      </c>
      <c r="B155" s="18" t="s">
        <v>35</v>
      </c>
      <c r="C155" s="18" t="s">
        <v>21</v>
      </c>
      <c r="D155" s="31" t="s">
        <v>89</v>
      </c>
      <c r="E155" s="18" t="s">
        <v>129</v>
      </c>
      <c r="F155" s="18">
        <v>86</v>
      </c>
      <c r="G155" s="18">
        <v>1</v>
      </c>
      <c r="H155" s="19"/>
      <c r="I155" s="19"/>
      <c r="J155" s="18" t="s">
        <v>24</v>
      </c>
      <c r="K155" s="18" t="s">
        <v>25</v>
      </c>
      <c r="L155" s="8" t="s">
        <v>86</v>
      </c>
      <c r="M155" s="8" t="s">
        <v>87</v>
      </c>
    </row>
    <row r="156" spans="1:13">
      <c r="A156" s="18" t="s">
        <v>56</v>
      </c>
      <c r="B156" s="18" t="s">
        <v>45</v>
      </c>
      <c r="C156" s="18" t="s">
        <v>21</v>
      </c>
      <c r="D156" s="31" t="s">
        <v>57</v>
      </c>
      <c r="E156" s="18" t="s">
        <v>130</v>
      </c>
      <c r="F156" s="18">
        <v>88</v>
      </c>
      <c r="G156" s="18">
        <v>1</v>
      </c>
      <c r="H156" s="18"/>
      <c r="I156" s="18"/>
      <c r="J156" s="18" t="s">
        <v>24</v>
      </c>
      <c r="K156" s="18" t="s">
        <v>55</v>
      </c>
      <c r="L156" s="8" t="s">
        <v>49</v>
      </c>
      <c r="M156" s="8" t="s">
        <v>50</v>
      </c>
    </row>
    <row r="157" spans="1:13">
      <c r="A157" s="18" t="s">
        <v>28</v>
      </c>
      <c r="B157" s="18" t="s">
        <v>29</v>
      </c>
      <c r="C157" s="18" t="s">
        <v>21</v>
      </c>
      <c r="D157" s="31" t="s">
        <v>30</v>
      </c>
      <c r="E157" s="18" t="s">
        <v>130</v>
      </c>
      <c r="F157" s="18">
        <v>88</v>
      </c>
      <c r="G157" s="18">
        <v>2</v>
      </c>
      <c r="H157" s="19">
        <v>50882</v>
      </c>
      <c r="I157" s="19" t="s">
        <v>48</v>
      </c>
      <c r="J157" s="18" t="s">
        <v>24</v>
      </c>
      <c r="K157" s="18" t="s">
        <v>33</v>
      </c>
      <c r="L157" s="8" t="s">
        <v>49</v>
      </c>
      <c r="M157" s="8" t="s">
        <v>50</v>
      </c>
    </row>
    <row r="158" spans="1:13">
      <c r="A158" s="18" t="s">
        <v>77</v>
      </c>
      <c r="B158" s="18" t="s">
        <v>29</v>
      </c>
      <c r="C158" s="18" t="s">
        <v>61</v>
      </c>
      <c r="D158" s="31" t="s">
        <v>78</v>
      </c>
      <c r="E158" s="18" t="s">
        <v>130</v>
      </c>
      <c r="F158" s="18">
        <v>88</v>
      </c>
      <c r="G158" s="18">
        <v>1</v>
      </c>
      <c r="H158" s="18"/>
      <c r="I158" s="18"/>
      <c r="J158" s="18" t="s">
        <v>24</v>
      </c>
      <c r="K158" s="18" t="s">
        <v>25</v>
      </c>
      <c r="L158" s="8" t="s">
        <v>49</v>
      </c>
      <c r="M158" s="8" t="s">
        <v>50</v>
      </c>
    </row>
    <row r="159" spans="1:13">
      <c r="A159" s="18" t="s">
        <v>90</v>
      </c>
      <c r="B159" s="18" t="s">
        <v>45</v>
      </c>
      <c r="C159" s="18" t="s">
        <v>61</v>
      </c>
      <c r="D159" s="31" t="s">
        <v>91</v>
      </c>
      <c r="E159" s="18" t="s">
        <v>131</v>
      </c>
      <c r="F159" s="18">
        <v>89</v>
      </c>
      <c r="G159" s="18">
        <v>2</v>
      </c>
      <c r="H159" s="18">
        <v>84182</v>
      </c>
      <c r="I159" s="18" t="s">
        <v>48</v>
      </c>
      <c r="J159" s="18" t="s">
        <v>24</v>
      </c>
      <c r="K159" s="18" t="s">
        <v>33</v>
      </c>
      <c r="L159" s="8" t="s">
        <v>26</v>
      </c>
      <c r="M159" s="8" t="s">
        <v>27</v>
      </c>
    </row>
    <row r="160" spans="1:13">
      <c r="A160" s="18" t="s">
        <v>69</v>
      </c>
      <c r="B160" s="18" t="s">
        <v>20</v>
      </c>
      <c r="C160" s="18" t="s">
        <v>61</v>
      </c>
      <c r="D160" s="31" t="s">
        <v>70</v>
      </c>
      <c r="E160" s="18" t="s">
        <v>131</v>
      </c>
      <c r="F160" s="18">
        <v>89</v>
      </c>
      <c r="G160" s="18">
        <v>1</v>
      </c>
      <c r="H160" s="18"/>
      <c r="I160" s="18"/>
      <c r="J160" s="18" t="s">
        <v>24</v>
      </c>
      <c r="K160" s="18" t="s">
        <v>55</v>
      </c>
      <c r="L160" s="8" t="s">
        <v>26</v>
      </c>
      <c r="M160" s="8" t="s">
        <v>27</v>
      </c>
    </row>
    <row r="161" spans="1:13">
      <c r="A161" s="18" t="s">
        <v>60</v>
      </c>
      <c r="B161" s="18" t="s">
        <v>35</v>
      </c>
      <c r="C161" s="18" t="s">
        <v>61</v>
      </c>
      <c r="D161" s="31" t="s">
        <v>62</v>
      </c>
      <c r="E161" s="18" t="s">
        <v>131</v>
      </c>
      <c r="F161" s="18">
        <v>89</v>
      </c>
      <c r="G161" s="18">
        <v>1</v>
      </c>
      <c r="H161" s="19"/>
      <c r="I161" s="19"/>
      <c r="J161" s="18" t="s">
        <v>24</v>
      </c>
      <c r="K161" s="18" t="s">
        <v>55</v>
      </c>
      <c r="L161" s="8" t="s">
        <v>26</v>
      </c>
      <c r="M161" s="8" t="s">
        <v>27</v>
      </c>
    </row>
  </sheetData>
  <autoFilter xmlns:etc="http://www.wps.cn/officeDocument/2017/etCustomData" ref="A1:M161" etc:filterBottomFollowUsedRange="0">
    <extLst/>
  </autoFilter>
  <sortState ref="A3:M161">
    <sortCondition ref="E3:E161"/>
  </sortState>
  <mergeCells count="1">
    <mergeCell ref="A1:M1"/>
  </mergeCells>
  <dataValidations count="1">
    <dataValidation type="list" allowBlank="1" showInputMessage="1" showErrorMessage="1" sqref="K105:K115">
      <formula1>"1(4/4),0.75(3/4),0.6(2/4+votepass),0.4(2/4+votedenied),0.25(1/4)"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"/>
  <sheetViews>
    <sheetView workbookViewId="0">
      <selection activeCell="D1" sqref="D$1:D$1048576"/>
    </sheetView>
  </sheetViews>
  <sheetFormatPr defaultColWidth="8.61261261261261" defaultRowHeight="14.1" outlineLevelCol="4"/>
  <cols>
    <col min="1" max="1" width="36.6306306306306" customWidth="1"/>
    <col min="3" max="3" width="12.6666666666667" customWidth="1"/>
    <col min="4" max="4" width="8.56756756756757" customWidth="1"/>
  </cols>
  <sheetData>
    <row r="1" spans="1:5">
      <c r="A1" t="s">
        <v>10</v>
      </c>
      <c r="B1" t="s">
        <v>11</v>
      </c>
      <c r="C1" t="s">
        <v>132</v>
      </c>
    </row>
    <row r="2" spans="1:5">
      <c r="A2" t="s">
        <v>113</v>
      </c>
      <c r="B2">
        <v>57</v>
      </c>
      <c r="C2" t="s">
        <v>133</v>
      </c>
      <c r="D2" t="s">
        <v>134</v>
      </c>
      <c r="E2" t="s">
        <v>135</v>
      </c>
    </row>
    <row r="3" spans="1:5">
      <c r="A3" t="s">
        <v>122</v>
      </c>
      <c r="B3">
        <v>64</v>
      </c>
      <c r="C3" t="s">
        <v>136</v>
      </c>
      <c r="D3" t="s">
        <v>134</v>
      </c>
      <c r="E3" t="s">
        <v>137</v>
      </c>
    </row>
    <row r="4" spans="1:5">
      <c r="A4" t="s">
        <v>121</v>
      </c>
      <c r="B4">
        <v>63</v>
      </c>
      <c r="C4" t="s">
        <v>138</v>
      </c>
      <c r="D4" t="s">
        <v>134</v>
      </c>
      <c r="E4" t="s">
        <v>139</v>
      </c>
    </row>
    <row r="5" spans="1:5">
      <c r="A5" t="s">
        <v>100</v>
      </c>
      <c r="B5">
        <v>36</v>
      </c>
      <c r="C5" t="s">
        <v>140</v>
      </c>
      <c r="D5" t="s">
        <v>134</v>
      </c>
      <c r="E5" t="s">
        <v>141</v>
      </c>
    </row>
    <row r="6" spans="1:5">
      <c r="A6" t="s">
        <v>123</v>
      </c>
      <c r="B6">
        <v>68</v>
      </c>
      <c r="C6" t="s">
        <v>142</v>
      </c>
      <c r="D6" t="s">
        <v>134</v>
      </c>
      <c r="E6" t="s">
        <v>143</v>
      </c>
    </row>
    <row r="7" spans="1:5">
      <c r="A7" t="s">
        <v>124</v>
      </c>
      <c r="B7">
        <v>69</v>
      </c>
      <c r="C7" t="s">
        <v>144</v>
      </c>
      <c r="D7" t="s">
        <v>134</v>
      </c>
      <c r="E7" t="s">
        <v>145</v>
      </c>
    </row>
    <row r="8" spans="1:5">
      <c r="A8" t="s">
        <v>80</v>
      </c>
      <c r="B8">
        <v>20</v>
      </c>
      <c r="C8" t="s">
        <v>146</v>
      </c>
      <c r="D8" t="s">
        <v>134</v>
      </c>
      <c r="E8" t="s">
        <v>147</v>
      </c>
    </row>
    <row r="9" spans="1:5">
      <c r="A9" t="s">
        <v>94</v>
      </c>
      <c r="B9">
        <v>28</v>
      </c>
      <c r="C9" t="s">
        <v>148</v>
      </c>
      <c r="D9" t="s">
        <v>134</v>
      </c>
      <c r="E9" t="s">
        <v>149</v>
      </c>
    </row>
    <row r="10" spans="1:5">
      <c r="A10" t="s">
        <v>95</v>
      </c>
      <c r="B10">
        <v>33</v>
      </c>
      <c r="C10" t="s">
        <v>150</v>
      </c>
      <c r="D10" t="s">
        <v>134</v>
      </c>
      <c r="E10" t="s">
        <v>151</v>
      </c>
    </row>
    <row r="11" spans="1:5">
      <c r="A11" t="s">
        <v>125</v>
      </c>
      <c r="B11">
        <v>72</v>
      </c>
      <c r="C11" t="s">
        <v>152</v>
      </c>
      <c r="D11" t="s">
        <v>134</v>
      </c>
      <c r="E11" t="s">
        <v>153</v>
      </c>
    </row>
    <row r="12" spans="1:5">
      <c r="A12" t="s">
        <v>108</v>
      </c>
      <c r="B12">
        <v>46</v>
      </c>
      <c r="C12" t="s">
        <v>154</v>
      </c>
      <c r="D12" t="s">
        <v>134</v>
      </c>
      <c r="E12" t="s">
        <v>155</v>
      </c>
    </row>
    <row r="13" spans="1:5">
      <c r="A13" t="s">
        <v>116</v>
      </c>
      <c r="B13">
        <v>58</v>
      </c>
      <c r="C13" t="s">
        <v>156</v>
      </c>
      <c r="D13" t="s">
        <v>134</v>
      </c>
      <c r="E13" t="s">
        <v>157</v>
      </c>
    </row>
    <row r="14" spans="1:5">
      <c r="A14" t="s">
        <v>47</v>
      </c>
      <c r="B14">
        <v>8</v>
      </c>
      <c r="C14" t="s">
        <v>158</v>
      </c>
      <c r="D14" t="s">
        <v>134</v>
      </c>
      <c r="E14" t="s">
        <v>159</v>
      </c>
    </row>
    <row r="15" spans="1:5">
      <c r="A15" t="s">
        <v>128</v>
      </c>
      <c r="B15">
        <v>81</v>
      </c>
      <c r="C15" t="s">
        <v>160</v>
      </c>
      <c r="D15" t="s">
        <v>134</v>
      </c>
      <c r="E15" t="s">
        <v>161</v>
      </c>
    </row>
    <row r="16" spans="1:5">
      <c r="A16" t="s">
        <v>58</v>
      </c>
      <c r="B16">
        <v>9</v>
      </c>
      <c r="C16" t="s">
        <v>162</v>
      </c>
      <c r="D16" t="s">
        <v>134</v>
      </c>
      <c r="E16" t="s">
        <v>163</v>
      </c>
    </row>
    <row r="17" spans="1:5">
      <c r="A17" t="s">
        <v>71</v>
      </c>
      <c r="B17">
        <v>14</v>
      </c>
      <c r="C17" t="s">
        <v>164</v>
      </c>
      <c r="D17" t="s">
        <v>134</v>
      </c>
      <c r="E17" t="s">
        <v>165</v>
      </c>
    </row>
    <row r="18" spans="1:5">
      <c r="A18" t="s">
        <v>93</v>
      </c>
      <c r="B18">
        <v>27</v>
      </c>
      <c r="C18" t="s">
        <v>166</v>
      </c>
      <c r="D18" t="s">
        <v>134</v>
      </c>
      <c r="E18" t="s">
        <v>167</v>
      </c>
    </row>
    <row r="19" spans="1:5">
      <c r="A19" t="s">
        <v>126</v>
      </c>
      <c r="B19">
        <v>77</v>
      </c>
      <c r="C19" t="s">
        <v>168</v>
      </c>
      <c r="D19" t="s">
        <v>134</v>
      </c>
      <c r="E19" t="s">
        <v>169</v>
      </c>
    </row>
    <row r="20" spans="1:5">
      <c r="A20" t="s">
        <v>130</v>
      </c>
      <c r="B20">
        <v>88</v>
      </c>
      <c r="C20" t="s">
        <v>170</v>
      </c>
      <c r="D20" t="s">
        <v>134</v>
      </c>
      <c r="E20" t="s">
        <v>171</v>
      </c>
    </row>
    <row r="21" spans="1:5">
      <c r="A21" t="s">
        <v>131</v>
      </c>
      <c r="B21">
        <v>89</v>
      </c>
      <c r="C21" t="s">
        <v>172</v>
      </c>
      <c r="D21" t="s">
        <v>134</v>
      </c>
      <c r="E21" t="s">
        <v>173</v>
      </c>
    </row>
    <row r="22" spans="1:5">
      <c r="A22" t="s">
        <v>23</v>
      </c>
      <c r="B22">
        <v>4</v>
      </c>
      <c r="C22" t="s">
        <v>174</v>
      </c>
      <c r="D22" t="s">
        <v>134</v>
      </c>
      <c r="E22" t="s">
        <v>175</v>
      </c>
    </row>
    <row r="23" spans="1:5">
      <c r="A23" t="s">
        <v>38</v>
      </c>
      <c r="B23">
        <v>5</v>
      </c>
      <c r="C23" t="s">
        <v>176</v>
      </c>
      <c r="D23" t="s">
        <v>134</v>
      </c>
      <c r="E23" t="s">
        <v>177</v>
      </c>
    </row>
    <row r="24" spans="1:5">
      <c r="A24" t="s">
        <v>85</v>
      </c>
      <c r="B24">
        <v>22</v>
      </c>
      <c r="C24" t="s">
        <v>178</v>
      </c>
      <c r="D24" t="s">
        <v>134</v>
      </c>
      <c r="E24" t="s">
        <v>179</v>
      </c>
    </row>
    <row r="25" spans="1:5">
      <c r="A25" t="s">
        <v>92</v>
      </c>
      <c r="B25">
        <v>23</v>
      </c>
      <c r="C25" t="s">
        <v>180</v>
      </c>
      <c r="D25" t="s">
        <v>134</v>
      </c>
      <c r="E25" t="s">
        <v>181</v>
      </c>
    </row>
    <row r="26" spans="1:5">
      <c r="A26" t="s">
        <v>105</v>
      </c>
      <c r="B26">
        <v>41</v>
      </c>
      <c r="C26" t="s">
        <v>182</v>
      </c>
      <c r="D26" t="s">
        <v>134</v>
      </c>
      <c r="E26" t="s">
        <v>183</v>
      </c>
    </row>
    <row r="27" spans="1:5">
      <c r="A27" t="s">
        <v>117</v>
      </c>
      <c r="B27">
        <v>59</v>
      </c>
      <c r="C27" t="s">
        <v>184</v>
      </c>
      <c r="D27" t="s">
        <v>134</v>
      </c>
      <c r="E27" t="s">
        <v>185</v>
      </c>
    </row>
    <row r="28" spans="1:5">
      <c r="A28" t="s">
        <v>129</v>
      </c>
      <c r="B28">
        <v>86</v>
      </c>
      <c r="C28" t="s">
        <v>178</v>
      </c>
      <c r="D28" t="s">
        <v>134</v>
      </c>
      <c r="E28" t="s">
        <v>179</v>
      </c>
    </row>
    <row r="29" spans="1:5">
      <c r="A29" t="s">
        <v>63</v>
      </c>
      <c r="B29">
        <v>11</v>
      </c>
      <c r="C29" t="s">
        <v>62</v>
      </c>
      <c r="D29" t="s">
        <v>134</v>
      </c>
      <c r="E29" t="s">
        <v>186</v>
      </c>
    </row>
    <row r="30" spans="1:5">
      <c r="A30" t="s">
        <v>66</v>
      </c>
      <c r="B30">
        <v>12</v>
      </c>
      <c r="C30" t="s">
        <v>65</v>
      </c>
      <c r="D30" t="s">
        <v>134</v>
      </c>
      <c r="E30" t="s">
        <v>187</v>
      </c>
    </row>
    <row r="31" spans="1:5">
      <c r="A31" t="s">
        <v>79</v>
      </c>
      <c r="B31">
        <v>15</v>
      </c>
      <c r="C31" t="s">
        <v>52</v>
      </c>
      <c r="D31" t="s">
        <v>134</v>
      </c>
      <c r="E31" t="s">
        <v>188</v>
      </c>
    </row>
    <row r="32" spans="1:5">
      <c r="A32" t="s">
        <v>98</v>
      </c>
      <c r="B32">
        <v>34</v>
      </c>
      <c r="C32" t="s">
        <v>37</v>
      </c>
      <c r="D32" t="s">
        <v>134</v>
      </c>
      <c r="E32" t="s">
        <v>189</v>
      </c>
    </row>
    <row r="33" spans="1:5">
      <c r="A33" t="s">
        <v>99</v>
      </c>
      <c r="B33">
        <v>35</v>
      </c>
      <c r="C33" t="s">
        <v>89</v>
      </c>
      <c r="D33" t="s">
        <v>134</v>
      </c>
      <c r="E33" t="s">
        <v>190</v>
      </c>
    </row>
    <row r="34" spans="1:5">
      <c r="A34" t="s">
        <v>101</v>
      </c>
      <c r="B34">
        <v>37</v>
      </c>
      <c r="C34" t="s">
        <v>22</v>
      </c>
      <c r="D34" t="s">
        <v>134</v>
      </c>
      <c r="E34" t="s">
        <v>191</v>
      </c>
    </row>
    <row r="35" spans="1:5">
      <c r="A35" t="s">
        <v>104</v>
      </c>
      <c r="B35">
        <v>39</v>
      </c>
      <c r="C35" t="s">
        <v>57</v>
      </c>
      <c r="D35" t="s">
        <v>134</v>
      </c>
      <c r="E35" t="s">
        <v>192</v>
      </c>
    </row>
    <row r="36" spans="1:5">
      <c r="A36" t="s">
        <v>106</v>
      </c>
      <c r="B36">
        <v>42</v>
      </c>
      <c r="C36" t="s">
        <v>22</v>
      </c>
      <c r="D36" t="s">
        <v>134</v>
      </c>
      <c r="E36" t="s">
        <v>191</v>
      </c>
    </row>
    <row r="37" spans="1:5">
      <c r="A37" t="s">
        <v>107</v>
      </c>
      <c r="B37">
        <v>45</v>
      </c>
      <c r="C37" t="s">
        <v>46</v>
      </c>
      <c r="D37" t="s">
        <v>134</v>
      </c>
      <c r="E37" t="s">
        <v>193</v>
      </c>
    </row>
    <row r="38" spans="1:5">
      <c r="A38" t="s">
        <v>109</v>
      </c>
      <c r="B38">
        <v>49</v>
      </c>
      <c r="C38" t="s">
        <v>37</v>
      </c>
      <c r="D38" t="s">
        <v>134</v>
      </c>
      <c r="E38" t="s">
        <v>189</v>
      </c>
    </row>
    <row r="39" spans="1:5">
      <c r="A39" t="s">
        <v>112</v>
      </c>
      <c r="B39">
        <v>53</v>
      </c>
      <c r="C39" t="s">
        <v>84</v>
      </c>
      <c r="D39" t="s">
        <v>134</v>
      </c>
      <c r="E39" t="s">
        <v>194</v>
      </c>
    </row>
    <row r="40" spans="1:5">
      <c r="A40" t="s">
        <v>118</v>
      </c>
      <c r="B40">
        <v>62</v>
      </c>
      <c r="C40" t="s">
        <v>54</v>
      </c>
      <c r="D40" t="s">
        <v>134</v>
      </c>
      <c r="E40" t="s">
        <v>195</v>
      </c>
    </row>
    <row r="41" spans="1:5">
      <c r="A41" t="s">
        <v>127</v>
      </c>
      <c r="B41">
        <v>78</v>
      </c>
      <c r="C41" t="s">
        <v>91</v>
      </c>
      <c r="D41" t="s">
        <v>134</v>
      </c>
      <c r="E41" t="s">
        <v>196</v>
      </c>
    </row>
  </sheetData>
  <autoFilter xmlns:etc="http://www.wps.cn/officeDocument/2017/etCustomData" ref="A1:C41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2"/>
  <sheetViews>
    <sheetView zoomScale="85" zoomScaleNormal="85" topLeftCell="A25" workbookViewId="0">
      <selection activeCell="H1" sqref="H$1:H$1048576"/>
    </sheetView>
  </sheetViews>
  <sheetFormatPr defaultColWidth="8.61261261261261" defaultRowHeight="14.1" outlineLevelCol="6"/>
  <cols>
    <col min="1" max="1" width="20.7117117117117" customWidth="1"/>
    <col min="2" max="2" width="36.6306306306306" customWidth="1"/>
    <col min="3" max="3" width="11.7027027027027" customWidth="1"/>
    <col min="4" max="4" width="13.9369369369369" customWidth="1"/>
    <col min="5" max="5" width="10.5495495495495" customWidth="1"/>
    <col min="6" max="6" width="20.7117117117117" customWidth="1"/>
    <col min="7" max="7" width="21.8648648648649" customWidth="1"/>
  </cols>
  <sheetData>
    <row r="1" spans="1:7">
      <c r="A1" s="20" t="s">
        <v>5</v>
      </c>
      <c r="B1" s="20"/>
      <c r="C1" s="20"/>
      <c r="D1" s="20"/>
      <c r="E1" s="20"/>
      <c r="F1" s="20"/>
      <c r="G1" s="20"/>
    </row>
    <row r="2" spans="1:7">
      <c r="A2" s="3" t="s">
        <v>6</v>
      </c>
      <c r="B2" s="3" t="s">
        <v>10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</row>
    <row r="3" spans="1:7">
      <c r="A3" s="21" t="s">
        <v>56</v>
      </c>
      <c r="B3" s="21" t="s">
        <v>121</v>
      </c>
      <c r="C3" s="21">
        <v>1</v>
      </c>
      <c r="D3" s="21" t="s">
        <v>197</v>
      </c>
      <c r="E3" s="21"/>
      <c r="F3" s="21" t="s">
        <v>24</v>
      </c>
      <c r="G3" s="21" t="s">
        <v>55</v>
      </c>
    </row>
    <row r="4" spans="1:7">
      <c r="A4" s="21" t="s">
        <v>56</v>
      </c>
      <c r="B4" s="21" t="s">
        <v>125</v>
      </c>
      <c r="C4" s="21">
        <v>1</v>
      </c>
      <c r="D4" s="21" t="s">
        <v>197</v>
      </c>
      <c r="E4" s="21"/>
      <c r="F4" s="21" t="s">
        <v>24</v>
      </c>
      <c r="G4" s="21" t="s">
        <v>55</v>
      </c>
    </row>
    <row r="5" spans="1:7">
      <c r="A5" s="21" t="s">
        <v>56</v>
      </c>
      <c r="B5" s="21" t="s">
        <v>100</v>
      </c>
      <c r="C5" s="21">
        <v>1</v>
      </c>
      <c r="D5" s="21" t="s">
        <v>197</v>
      </c>
      <c r="E5" s="21"/>
      <c r="F5" s="21" t="s">
        <v>24</v>
      </c>
      <c r="G5" s="21" t="s">
        <v>25</v>
      </c>
    </row>
    <row r="6" spans="1:7">
      <c r="A6" s="21" t="s">
        <v>56</v>
      </c>
      <c r="B6" s="21" t="s">
        <v>108</v>
      </c>
      <c r="C6" s="21">
        <v>1</v>
      </c>
      <c r="D6" s="21" t="s">
        <v>197</v>
      </c>
      <c r="E6" s="21"/>
      <c r="F6" s="21" t="s">
        <v>24</v>
      </c>
      <c r="G6" s="21" t="s">
        <v>55</v>
      </c>
    </row>
    <row r="7" spans="1:7">
      <c r="A7" s="21" t="s">
        <v>56</v>
      </c>
      <c r="B7" s="21" t="s">
        <v>126</v>
      </c>
      <c r="C7" s="21">
        <v>1</v>
      </c>
      <c r="D7" s="21" t="s">
        <v>197</v>
      </c>
      <c r="E7" s="21"/>
      <c r="F7" s="21" t="s">
        <v>24</v>
      </c>
      <c r="G7" s="21" t="s">
        <v>25</v>
      </c>
    </row>
    <row r="8" spans="1:7">
      <c r="A8" s="21" t="s">
        <v>56</v>
      </c>
      <c r="B8" s="21" t="s">
        <v>128</v>
      </c>
      <c r="C8" s="21">
        <v>1</v>
      </c>
      <c r="D8" s="21" t="s">
        <v>197</v>
      </c>
      <c r="E8" s="21"/>
      <c r="F8" s="21" t="s">
        <v>24</v>
      </c>
      <c r="G8" s="21" t="s">
        <v>25</v>
      </c>
    </row>
    <row r="9" spans="1:7">
      <c r="A9" s="21" t="s">
        <v>56</v>
      </c>
      <c r="B9" s="21" t="s">
        <v>198</v>
      </c>
      <c r="C9" s="21">
        <v>1</v>
      </c>
      <c r="D9" s="21" t="s">
        <v>197</v>
      </c>
      <c r="E9" s="21"/>
      <c r="F9" s="21" t="s">
        <v>199</v>
      </c>
      <c r="G9" s="21" t="s">
        <v>200</v>
      </c>
    </row>
    <row r="10" spans="1:7">
      <c r="A10" s="21" t="s">
        <v>56</v>
      </c>
      <c r="B10" s="21" t="s">
        <v>93</v>
      </c>
      <c r="C10" s="21">
        <v>1</v>
      </c>
      <c r="D10" s="21" t="s">
        <v>197</v>
      </c>
      <c r="E10" s="21"/>
      <c r="F10" s="21" t="s">
        <v>24</v>
      </c>
      <c r="G10" s="21" t="s">
        <v>25</v>
      </c>
    </row>
    <row r="11" spans="1:7">
      <c r="A11" s="21" t="s">
        <v>56</v>
      </c>
      <c r="B11" s="21" t="s">
        <v>201</v>
      </c>
      <c r="C11" s="21">
        <v>2</v>
      </c>
      <c r="D11" s="21" t="s">
        <v>59</v>
      </c>
      <c r="E11" s="21" t="s">
        <v>202</v>
      </c>
      <c r="F11" s="21" t="s">
        <v>199</v>
      </c>
      <c r="G11" s="21" t="s">
        <v>203</v>
      </c>
    </row>
    <row r="12" spans="1:7">
      <c r="A12" s="21" t="s">
        <v>56</v>
      </c>
      <c r="B12" s="21" t="s">
        <v>85</v>
      </c>
      <c r="C12" s="21">
        <v>2</v>
      </c>
      <c r="D12" s="21">
        <v>40031</v>
      </c>
      <c r="E12" s="21" t="s">
        <v>32</v>
      </c>
      <c r="F12" s="21" t="s">
        <v>199</v>
      </c>
      <c r="G12" s="21" t="s">
        <v>203</v>
      </c>
    </row>
    <row r="13" spans="1:7">
      <c r="A13" s="21" t="s">
        <v>56</v>
      </c>
      <c r="B13" s="21" t="s">
        <v>104</v>
      </c>
      <c r="C13" s="21">
        <v>1</v>
      </c>
      <c r="D13" s="21" t="s">
        <v>197</v>
      </c>
      <c r="E13" s="21" t="s">
        <v>197</v>
      </c>
      <c r="F13" s="21" t="s">
        <v>24</v>
      </c>
      <c r="G13" s="21" t="s">
        <v>55</v>
      </c>
    </row>
    <row r="14" spans="1:7">
      <c r="A14" s="21" t="s">
        <v>56</v>
      </c>
      <c r="B14" s="21" t="s">
        <v>204</v>
      </c>
      <c r="C14" s="21">
        <v>2</v>
      </c>
      <c r="D14" s="21">
        <v>58919</v>
      </c>
      <c r="E14" s="21" t="s">
        <v>32</v>
      </c>
      <c r="F14" s="21" t="s">
        <v>199</v>
      </c>
      <c r="G14" s="21" t="s">
        <v>203</v>
      </c>
    </row>
    <row r="15" spans="1:7">
      <c r="A15" s="21" t="s">
        <v>56</v>
      </c>
      <c r="B15" s="21" t="s">
        <v>122</v>
      </c>
      <c r="C15" s="21">
        <v>1</v>
      </c>
      <c r="D15" s="21" t="s">
        <v>197</v>
      </c>
      <c r="E15" s="21"/>
      <c r="F15" s="21" t="s">
        <v>24</v>
      </c>
      <c r="G15" s="21" t="s">
        <v>55</v>
      </c>
    </row>
    <row r="16" spans="1:7">
      <c r="A16" s="21" t="s">
        <v>56</v>
      </c>
      <c r="B16" s="21" t="s">
        <v>123</v>
      </c>
      <c r="C16" s="21">
        <v>1</v>
      </c>
      <c r="D16" s="21" t="s">
        <v>197</v>
      </c>
      <c r="E16" s="21"/>
      <c r="F16" s="21" t="s">
        <v>24</v>
      </c>
      <c r="G16" s="21" t="s">
        <v>55</v>
      </c>
    </row>
    <row r="17" spans="1:7">
      <c r="A17" s="21" t="s">
        <v>56</v>
      </c>
      <c r="B17" s="21" t="s">
        <v>124</v>
      </c>
      <c r="C17" s="21">
        <v>2</v>
      </c>
      <c r="D17" s="21" t="s">
        <v>59</v>
      </c>
      <c r="E17" s="21" t="s">
        <v>32</v>
      </c>
      <c r="F17" s="21" t="s">
        <v>199</v>
      </c>
      <c r="G17" s="21" t="s">
        <v>203</v>
      </c>
    </row>
    <row r="18" spans="1:7">
      <c r="A18" s="21" t="s">
        <v>56</v>
      </c>
      <c r="B18" s="21" t="s">
        <v>130</v>
      </c>
      <c r="C18" s="21">
        <v>1</v>
      </c>
      <c r="D18" s="21" t="s">
        <v>197</v>
      </c>
      <c r="E18" s="21"/>
      <c r="F18" s="21" t="s">
        <v>24</v>
      </c>
      <c r="G18" s="21" t="s">
        <v>55</v>
      </c>
    </row>
    <row r="19" spans="1:7">
      <c r="A19" s="21" t="s">
        <v>56</v>
      </c>
      <c r="B19" s="21" t="s">
        <v>58</v>
      </c>
      <c r="C19" s="21">
        <v>2</v>
      </c>
      <c r="D19" s="21" t="s">
        <v>59</v>
      </c>
      <c r="E19" s="21" t="s">
        <v>32</v>
      </c>
      <c r="F19" s="21" t="s">
        <v>24</v>
      </c>
      <c r="G19" s="21" t="s">
        <v>205</v>
      </c>
    </row>
    <row r="20" spans="1:7">
      <c r="A20" s="21" t="s">
        <v>56</v>
      </c>
      <c r="B20" s="21" t="s">
        <v>80</v>
      </c>
      <c r="C20" s="21">
        <v>2</v>
      </c>
      <c r="D20" s="21">
        <v>96244</v>
      </c>
      <c r="E20" s="21" t="s">
        <v>48</v>
      </c>
      <c r="F20" s="21" t="s">
        <v>199</v>
      </c>
      <c r="G20" s="21" t="s">
        <v>203</v>
      </c>
    </row>
    <row r="21" spans="1:7">
      <c r="A21" s="21" t="s">
        <v>56</v>
      </c>
      <c r="B21" s="21" t="s">
        <v>206</v>
      </c>
      <c r="C21" s="21">
        <v>1</v>
      </c>
      <c r="D21" s="21"/>
      <c r="E21" s="21"/>
      <c r="F21" s="21" t="s">
        <v>199</v>
      </c>
      <c r="G21" s="21" t="s">
        <v>200</v>
      </c>
    </row>
    <row r="22" spans="1:7">
      <c r="A22" s="21" t="s">
        <v>56</v>
      </c>
      <c r="B22" s="21" t="s">
        <v>207</v>
      </c>
      <c r="C22" s="21">
        <v>2</v>
      </c>
      <c r="D22" s="21">
        <v>47476</v>
      </c>
      <c r="E22" s="21" t="s">
        <v>48</v>
      </c>
      <c r="F22" s="21" t="s">
        <v>199</v>
      </c>
      <c r="G22" s="21" t="s">
        <v>203</v>
      </c>
    </row>
    <row r="23" spans="1:7">
      <c r="A23" s="21" t="s">
        <v>56</v>
      </c>
      <c r="B23" s="21" t="s">
        <v>208</v>
      </c>
      <c r="C23" s="21">
        <v>2</v>
      </c>
      <c r="D23" s="21" t="s">
        <v>59</v>
      </c>
      <c r="E23" s="21" t="s">
        <v>202</v>
      </c>
      <c r="F23" s="21" t="s">
        <v>199</v>
      </c>
      <c r="G23" s="21" t="s">
        <v>203</v>
      </c>
    </row>
    <row r="24" spans="1:7">
      <c r="A24" s="21" t="s">
        <v>56</v>
      </c>
      <c r="B24" s="21" t="s">
        <v>209</v>
      </c>
      <c r="C24" s="21">
        <v>1</v>
      </c>
      <c r="D24" s="21"/>
      <c r="E24" s="21"/>
      <c r="F24" s="21" t="s">
        <v>199</v>
      </c>
      <c r="G24" s="21" t="s">
        <v>200</v>
      </c>
    </row>
    <row r="25" spans="1:7">
      <c r="A25" s="21" t="s">
        <v>56</v>
      </c>
      <c r="B25" s="21" t="s">
        <v>210</v>
      </c>
      <c r="C25" s="21">
        <v>1</v>
      </c>
      <c r="D25" s="21"/>
      <c r="E25" s="21"/>
      <c r="F25" s="21" t="s">
        <v>199</v>
      </c>
      <c r="G25" s="21" t="s">
        <v>200</v>
      </c>
    </row>
    <row r="26" spans="1:7">
      <c r="A26" s="21" t="s">
        <v>56</v>
      </c>
      <c r="B26" s="21" t="s">
        <v>211</v>
      </c>
      <c r="C26" s="21">
        <v>1</v>
      </c>
      <c r="D26" s="21"/>
      <c r="E26" s="21"/>
      <c r="F26" s="21" t="s">
        <v>199</v>
      </c>
      <c r="G26" s="21" t="s">
        <v>200</v>
      </c>
    </row>
    <row r="27" spans="1:7">
      <c r="A27" s="21" t="s">
        <v>56</v>
      </c>
      <c r="B27" s="21" t="s">
        <v>107</v>
      </c>
      <c r="C27" s="21">
        <v>1</v>
      </c>
      <c r="D27" s="21"/>
      <c r="E27" s="21"/>
      <c r="F27" s="21" t="s">
        <v>199</v>
      </c>
      <c r="G27" s="21" t="s">
        <v>200</v>
      </c>
    </row>
    <row r="28" spans="1:7">
      <c r="A28" s="21" t="s">
        <v>56</v>
      </c>
      <c r="B28" s="21" t="s">
        <v>117</v>
      </c>
      <c r="C28" s="21">
        <v>1</v>
      </c>
      <c r="D28" s="21"/>
      <c r="E28" s="21"/>
      <c r="F28" s="21" t="s">
        <v>199</v>
      </c>
      <c r="G28" s="21" t="s">
        <v>200</v>
      </c>
    </row>
    <row r="29" spans="1:7">
      <c r="A29" s="21" t="s">
        <v>56</v>
      </c>
      <c r="B29" s="21" t="s">
        <v>118</v>
      </c>
      <c r="C29" s="21">
        <v>1</v>
      </c>
      <c r="D29" s="21"/>
      <c r="E29" s="21"/>
      <c r="F29" s="21" t="s">
        <v>199</v>
      </c>
      <c r="G29" s="21" t="s">
        <v>200</v>
      </c>
    </row>
    <row r="30" spans="1:7">
      <c r="A30" s="21" t="s">
        <v>56</v>
      </c>
      <c r="B30" s="21" t="s">
        <v>212</v>
      </c>
      <c r="C30" s="21">
        <v>1</v>
      </c>
      <c r="D30" s="21"/>
      <c r="E30" s="21"/>
      <c r="F30" s="21" t="s">
        <v>199</v>
      </c>
      <c r="G30" s="21" t="s">
        <v>200</v>
      </c>
    </row>
    <row r="31" spans="1:7">
      <c r="A31" s="21" t="s">
        <v>56</v>
      </c>
      <c r="B31" s="21" t="s">
        <v>213</v>
      </c>
      <c r="C31" s="21">
        <v>1</v>
      </c>
      <c r="D31" s="21"/>
      <c r="E31" s="21"/>
      <c r="F31" s="21" t="s">
        <v>199</v>
      </c>
      <c r="G31" s="21" t="s">
        <v>200</v>
      </c>
    </row>
    <row r="32" spans="1:7">
      <c r="A32" s="21" t="s">
        <v>56</v>
      </c>
      <c r="B32" s="21" t="s">
        <v>214</v>
      </c>
      <c r="C32" s="21">
        <v>1</v>
      </c>
      <c r="D32" s="21"/>
      <c r="E32" s="21"/>
      <c r="F32" s="21" t="s">
        <v>199</v>
      </c>
      <c r="G32" s="21" t="s">
        <v>200</v>
      </c>
    </row>
    <row r="33" spans="1:7">
      <c r="A33" s="21" t="s">
        <v>56</v>
      </c>
      <c r="B33" s="21" t="s">
        <v>215</v>
      </c>
      <c r="C33" s="21">
        <v>1</v>
      </c>
      <c r="D33" s="21"/>
      <c r="E33" s="21"/>
      <c r="F33" s="21" t="s">
        <v>199</v>
      </c>
      <c r="G33" s="21" t="s">
        <v>200</v>
      </c>
    </row>
    <row r="34" spans="1:7">
      <c r="A34" s="21" t="s">
        <v>56</v>
      </c>
      <c r="B34" s="21" t="s">
        <v>216</v>
      </c>
      <c r="C34" s="21">
        <v>1</v>
      </c>
      <c r="D34" s="21"/>
      <c r="E34" s="21"/>
      <c r="F34" s="21" t="s">
        <v>199</v>
      </c>
      <c r="G34" s="21" t="s">
        <v>200</v>
      </c>
    </row>
    <row r="35" spans="1:7">
      <c r="A35" s="18" t="s">
        <v>90</v>
      </c>
      <c r="B35" s="22" t="s">
        <v>131</v>
      </c>
      <c r="C35" s="22" t="s">
        <v>217</v>
      </c>
      <c r="D35" s="18">
        <v>84182</v>
      </c>
      <c r="E35" s="18" t="s">
        <v>48</v>
      </c>
      <c r="F35" s="18"/>
      <c r="G35" s="18"/>
    </row>
    <row r="36" spans="1:7">
      <c r="A36" s="18" t="s">
        <v>90</v>
      </c>
      <c r="B36" s="18" t="s">
        <v>128</v>
      </c>
      <c r="C36" s="18">
        <v>1</v>
      </c>
      <c r="D36" s="18" t="s">
        <v>197</v>
      </c>
      <c r="E36" s="18"/>
      <c r="F36" s="18" t="s">
        <v>24</v>
      </c>
      <c r="G36" s="18" t="s">
        <v>25</v>
      </c>
    </row>
    <row r="37" spans="1:7">
      <c r="A37" s="18" t="s">
        <v>90</v>
      </c>
      <c r="B37" s="18" t="s">
        <v>127</v>
      </c>
      <c r="C37" s="18">
        <v>1</v>
      </c>
      <c r="D37" s="18" t="s">
        <v>197</v>
      </c>
      <c r="E37" s="18"/>
      <c r="F37" s="18" t="s">
        <v>24</v>
      </c>
      <c r="G37" s="18" t="s">
        <v>55</v>
      </c>
    </row>
    <row r="38" spans="1:7">
      <c r="A38" s="18" t="s">
        <v>90</v>
      </c>
      <c r="B38" s="18" t="s">
        <v>218</v>
      </c>
      <c r="C38" s="18">
        <v>1</v>
      </c>
      <c r="D38" s="18" t="s">
        <v>197</v>
      </c>
      <c r="E38" s="18"/>
      <c r="F38" s="18" t="s">
        <v>199</v>
      </c>
      <c r="G38" s="18" t="s">
        <v>200</v>
      </c>
    </row>
    <row r="39" spans="1:7">
      <c r="A39" s="18" t="s">
        <v>90</v>
      </c>
      <c r="B39" s="18" t="s">
        <v>125</v>
      </c>
      <c r="C39" s="18">
        <v>1</v>
      </c>
      <c r="D39" s="18" t="s">
        <v>197</v>
      </c>
      <c r="E39" s="18"/>
      <c r="F39" s="18" t="s">
        <v>24</v>
      </c>
      <c r="G39" s="18" t="s">
        <v>25</v>
      </c>
    </row>
    <row r="40" spans="1:7">
      <c r="A40" s="18" t="s">
        <v>90</v>
      </c>
      <c r="B40" s="18" t="s">
        <v>124</v>
      </c>
      <c r="C40" s="18">
        <v>1</v>
      </c>
      <c r="D40" s="18" t="s">
        <v>197</v>
      </c>
      <c r="E40" s="18"/>
      <c r="F40" s="18" t="s">
        <v>199</v>
      </c>
      <c r="G40" s="18" t="s">
        <v>200</v>
      </c>
    </row>
    <row r="41" spans="1:7">
      <c r="A41" s="18" t="s">
        <v>90</v>
      </c>
      <c r="B41" s="18" t="s">
        <v>123</v>
      </c>
      <c r="C41" s="18">
        <v>1</v>
      </c>
      <c r="D41" s="18" t="s">
        <v>197</v>
      </c>
      <c r="E41" s="18"/>
      <c r="F41" s="18" t="s">
        <v>199</v>
      </c>
      <c r="G41" s="18" t="s">
        <v>200</v>
      </c>
    </row>
    <row r="42" spans="1:7">
      <c r="A42" s="18" t="s">
        <v>90</v>
      </c>
      <c r="B42" s="18" t="s">
        <v>219</v>
      </c>
      <c r="C42" s="18">
        <v>1</v>
      </c>
      <c r="D42" s="18" t="s">
        <v>197</v>
      </c>
      <c r="E42" s="18"/>
      <c r="F42" s="18" t="s">
        <v>199</v>
      </c>
      <c r="G42" s="18" t="s">
        <v>200</v>
      </c>
    </row>
    <row r="43" spans="1:7">
      <c r="A43" s="18" t="s">
        <v>90</v>
      </c>
      <c r="B43" s="18" t="s">
        <v>122</v>
      </c>
      <c r="C43" s="18">
        <v>1</v>
      </c>
      <c r="D43" s="18" t="s">
        <v>197</v>
      </c>
      <c r="E43" s="18"/>
      <c r="F43" s="18" t="s">
        <v>24</v>
      </c>
      <c r="G43" s="18" t="s">
        <v>25</v>
      </c>
    </row>
    <row r="44" spans="1:7">
      <c r="A44" s="18" t="s">
        <v>90</v>
      </c>
      <c r="B44" s="18" t="s">
        <v>121</v>
      </c>
      <c r="C44" s="18">
        <v>1</v>
      </c>
      <c r="D44" s="18" t="s">
        <v>197</v>
      </c>
      <c r="E44" s="18"/>
      <c r="F44" s="18" t="s">
        <v>24</v>
      </c>
      <c r="G44" s="18" t="s">
        <v>25</v>
      </c>
    </row>
    <row r="45" spans="1:7">
      <c r="A45" s="18" t="s">
        <v>90</v>
      </c>
      <c r="B45" s="18" t="s">
        <v>118</v>
      </c>
      <c r="C45" s="18">
        <v>1</v>
      </c>
      <c r="D45" s="18" t="s">
        <v>197</v>
      </c>
      <c r="E45" s="18"/>
      <c r="F45" s="18" t="s">
        <v>199</v>
      </c>
      <c r="G45" s="18" t="s">
        <v>200</v>
      </c>
    </row>
    <row r="46" spans="1:7">
      <c r="A46" s="18" t="s">
        <v>90</v>
      </c>
      <c r="B46" s="18" t="s">
        <v>220</v>
      </c>
      <c r="C46" s="18">
        <v>1</v>
      </c>
      <c r="D46" s="18" t="s">
        <v>197</v>
      </c>
      <c r="E46" s="18"/>
      <c r="F46" s="18" t="s">
        <v>199</v>
      </c>
      <c r="G46" s="18" t="s">
        <v>200</v>
      </c>
    </row>
    <row r="47" spans="1:7">
      <c r="A47" s="18" t="s">
        <v>90</v>
      </c>
      <c r="B47" s="18" t="s">
        <v>204</v>
      </c>
      <c r="C47" s="18">
        <v>1</v>
      </c>
      <c r="D47" s="18" t="s">
        <v>197</v>
      </c>
      <c r="E47" s="18"/>
      <c r="F47" s="18" t="s">
        <v>199</v>
      </c>
      <c r="G47" s="18" t="s">
        <v>200</v>
      </c>
    </row>
    <row r="48" spans="1:7">
      <c r="A48" s="18" t="s">
        <v>90</v>
      </c>
      <c r="B48" s="18" t="s">
        <v>113</v>
      </c>
      <c r="C48" s="18">
        <v>1</v>
      </c>
      <c r="D48" s="18" t="s">
        <v>197</v>
      </c>
      <c r="E48" s="18"/>
      <c r="F48" s="18" t="s">
        <v>24</v>
      </c>
      <c r="G48" s="18" t="s">
        <v>25</v>
      </c>
    </row>
    <row r="49" spans="1:7">
      <c r="A49" s="18" t="s">
        <v>90</v>
      </c>
      <c r="B49" s="18" t="s">
        <v>108</v>
      </c>
      <c r="C49" s="18">
        <v>1</v>
      </c>
      <c r="D49" s="18" t="s">
        <v>197</v>
      </c>
      <c r="E49" s="18"/>
      <c r="F49" s="18" t="s">
        <v>199</v>
      </c>
      <c r="G49" s="18" t="s">
        <v>200</v>
      </c>
    </row>
    <row r="50" spans="1:7">
      <c r="A50" s="18" t="s">
        <v>90</v>
      </c>
      <c r="B50" s="18" t="s">
        <v>107</v>
      </c>
      <c r="C50" s="18">
        <v>1</v>
      </c>
      <c r="D50" s="18" t="s">
        <v>197</v>
      </c>
      <c r="E50" s="18"/>
      <c r="F50" s="18" t="s">
        <v>199</v>
      </c>
      <c r="G50" s="18" t="s">
        <v>200</v>
      </c>
    </row>
    <row r="51" spans="1:7">
      <c r="A51" s="18" t="s">
        <v>90</v>
      </c>
      <c r="B51" s="18" t="s">
        <v>221</v>
      </c>
      <c r="C51" s="18">
        <v>1</v>
      </c>
      <c r="D51" s="18" t="s">
        <v>197</v>
      </c>
      <c r="E51" s="18"/>
      <c r="F51" s="18" t="s">
        <v>199</v>
      </c>
      <c r="G51" s="18" t="s">
        <v>200</v>
      </c>
    </row>
    <row r="52" spans="1:7">
      <c r="A52" s="18" t="s">
        <v>90</v>
      </c>
      <c r="B52" s="18" t="s">
        <v>100</v>
      </c>
      <c r="C52" s="18">
        <v>1</v>
      </c>
      <c r="D52" s="18" t="s">
        <v>197</v>
      </c>
      <c r="E52" s="18"/>
      <c r="F52" s="18" t="s">
        <v>24</v>
      </c>
      <c r="G52" s="18" t="s">
        <v>25</v>
      </c>
    </row>
    <row r="53" spans="1:7">
      <c r="A53" s="18" t="s">
        <v>90</v>
      </c>
      <c r="B53" s="22" t="s">
        <v>95</v>
      </c>
      <c r="C53" s="22" t="s">
        <v>217</v>
      </c>
      <c r="D53" s="18">
        <v>44172</v>
      </c>
      <c r="E53" s="18" t="s">
        <v>48</v>
      </c>
      <c r="F53" s="18"/>
      <c r="G53" s="18"/>
    </row>
    <row r="54" spans="1:7">
      <c r="A54" s="18" t="s">
        <v>90</v>
      </c>
      <c r="B54" s="18" t="s">
        <v>94</v>
      </c>
      <c r="C54" s="18">
        <v>1</v>
      </c>
      <c r="D54" s="18" t="s">
        <v>197</v>
      </c>
      <c r="E54" s="18"/>
      <c r="F54" s="18" t="s">
        <v>24</v>
      </c>
      <c r="G54" s="18" t="s">
        <v>55</v>
      </c>
    </row>
    <row r="55" spans="1:7">
      <c r="A55" s="18" t="s">
        <v>90</v>
      </c>
      <c r="B55" s="18" t="s">
        <v>92</v>
      </c>
      <c r="C55" s="18">
        <v>1</v>
      </c>
      <c r="D55" s="18" t="s">
        <v>197</v>
      </c>
      <c r="E55" s="18"/>
      <c r="F55" s="18" t="s">
        <v>24</v>
      </c>
      <c r="G55" s="18" t="s">
        <v>55</v>
      </c>
    </row>
    <row r="56" spans="1:7">
      <c r="A56" s="18" t="s">
        <v>90</v>
      </c>
      <c r="B56" s="18" t="s">
        <v>85</v>
      </c>
      <c r="C56" s="18">
        <v>1</v>
      </c>
      <c r="D56" s="18" t="s">
        <v>197</v>
      </c>
      <c r="E56" s="18"/>
      <c r="F56" s="18" t="s">
        <v>199</v>
      </c>
      <c r="G56" s="18" t="s">
        <v>200</v>
      </c>
    </row>
    <row r="57" spans="1:7">
      <c r="A57" s="18" t="s">
        <v>90</v>
      </c>
      <c r="B57" s="22" t="s">
        <v>80</v>
      </c>
      <c r="C57" s="22" t="s">
        <v>217</v>
      </c>
      <c r="D57" s="18">
        <v>29792</v>
      </c>
      <c r="E57" s="18" t="s">
        <v>48</v>
      </c>
      <c r="F57" s="18"/>
      <c r="G57" s="18"/>
    </row>
    <row r="58" spans="1:7">
      <c r="A58" s="18" t="s">
        <v>90</v>
      </c>
      <c r="B58" s="18" t="s">
        <v>211</v>
      </c>
      <c r="C58" s="18">
        <v>1</v>
      </c>
      <c r="D58" s="18" t="s">
        <v>197</v>
      </c>
      <c r="E58" s="18"/>
      <c r="F58" s="18" t="s">
        <v>199</v>
      </c>
      <c r="G58" s="18" t="s">
        <v>200</v>
      </c>
    </row>
    <row r="59" spans="1:7">
      <c r="A59" s="18" t="s">
        <v>90</v>
      </c>
      <c r="B59" s="18" t="s">
        <v>58</v>
      </c>
      <c r="C59" s="18">
        <v>1</v>
      </c>
      <c r="D59" s="18" t="s">
        <v>197</v>
      </c>
      <c r="E59" s="18"/>
      <c r="F59" s="18" t="s">
        <v>199</v>
      </c>
      <c r="G59" s="18" t="s">
        <v>200</v>
      </c>
    </row>
    <row r="60" spans="1:7">
      <c r="A60" s="18" t="s">
        <v>90</v>
      </c>
      <c r="B60" s="18" t="s">
        <v>209</v>
      </c>
      <c r="C60" s="18">
        <v>1</v>
      </c>
      <c r="D60" s="18" t="s">
        <v>197</v>
      </c>
      <c r="E60" s="18"/>
      <c r="F60" s="18" t="s">
        <v>199</v>
      </c>
      <c r="G60" s="18" t="s">
        <v>200</v>
      </c>
    </row>
    <row r="61" spans="1:7">
      <c r="A61" s="21" t="s">
        <v>64</v>
      </c>
      <c r="B61" s="21" t="s">
        <v>128</v>
      </c>
      <c r="C61" s="21">
        <v>1</v>
      </c>
      <c r="D61" s="21"/>
      <c r="E61" s="21"/>
      <c r="F61" s="21" t="s">
        <v>24</v>
      </c>
      <c r="G61" s="21" t="s">
        <v>55</v>
      </c>
    </row>
    <row r="62" spans="1:7">
      <c r="A62" s="21" t="s">
        <v>64</v>
      </c>
      <c r="B62" s="21" t="s">
        <v>125</v>
      </c>
      <c r="C62" s="21">
        <v>1</v>
      </c>
      <c r="D62" s="21"/>
      <c r="E62" s="21"/>
      <c r="F62" s="21" t="s">
        <v>24</v>
      </c>
      <c r="G62" s="21" t="s">
        <v>25</v>
      </c>
    </row>
    <row r="63" spans="1:7">
      <c r="A63" s="21" t="s">
        <v>64</v>
      </c>
      <c r="B63" s="21" t="s">
        <v>124</v>
      </c>
      <c r="C63" s="21">
        <v>1</v>
      </c>
      <c r="D63" s="21"/>
      <c r="E63" s="21"/>
      <c r="F63" s="21" t="s">
        <v>199</v>
      </c>
      <c r="G63" s="21" t="s">
        <v>200</v>
      </c>
    </row>
    <row r="64" spans="1:7">
      <c r="A64" s="21" t="s">
        <v>64</v>
      </c>
      <c r="B64" s="21" t="s">
        <v>123</v>
      </c>
      <c r="C64" s="21">
        <v>1</v>
      </c>
      <c r="D64" s="21"/>
      <c r="E64" s="21"/>
      <c r="F64" s="21" t="s">
        <v>199</v>
      </c>
      <c r="G64" s="21" t="s">
        <v>200</v>
      </c>
    </row>
    <row r="65" spans="1:7">
      <c r="A65" s="21" t="s">
        <v>64</v>
      </c>
      <c r="B65" s="21" t="s">
        <v>219</v>
      </c>
      <c r="C65" s="21">
        <v>1</v>
      </c>
      <c r="D65" s="21"/>
      <c r="E65" s="21"/>
      <c r="F65" s="21" t="s">
        <v>199</v>
      </c>
      <c r="G65" s="21" t="s">
        <v>200</v>
      </c>
    </row>
    <row r="66" spans="1:7">
      <c r="A66" s="21" t="s">
        <v>64</v>
      </c>
      <c r="B66" s="21" t="s">
        <v>122</v>
      </c>
      <c r="C66" s="21">
        <v>1</v>
      </c>
      <c r="D66" s="21"/>
      <c r="E66" s="21"/>
      <c r="F66" s="21" t="s">
        <v>24</v>
      </c>
      <c r="G66" s="21" t="s">
        <v>25</v>
      </c>
    </row>
    <row r="67" spans="1:7">
      <c r="A67" s="21" t="s">
        <v>64</v>
      </c>
      <c r="B67" s="21" t="s">
        <v>121</v>
      </c>
      <c r="C67" s="21">
        <v>1</v>
      </c>
      <c r="D67" s="21"/>
      <c r="E67" s="21"/>
      <c r="F67" s="21" t="s">
        <v>24</v>
      </c>
      <c r="G67" s="21" t="s">
        <v>55</v>
      </c>
    </row>
    <row r="68" spans="1:7">
      <c r="A68" s="21" t="s">
        <v>64</v>
      </c>
      <c r="B68" s="21" t="s">
        <v>118</v>
      </c>
      <c r="C68" s="21">
        <v>1</v>
      </c>
      <c r="D68" s="21"/>
      <c r="E68" s="21"/>
      <c r="F68" s="21" t="s">
        <v>199</v>
      </c>
      <c r="G68" s="21" t="s">
        <v>200</v>
      </c>
    </row>
    <row r="69" spans="1:7">
      <c r="A69" s="21" t="s">
        <v>64</v>
      </c>
      <c r="B69" s="21" t="s">
        <v>117</v>
      </c>
      <c r="C69" s="21">
        <v>1</v>
      </c>
      <c r="D69" s="21"/>
      <c r="E69" s="21"/>
      <c r="F69" s="21" t="s">
        <v>199</v>
      </c>
      <c r="G69" s="21" t="s">
        <v>200</v>
      </c>
    </row>
    <row r="70" spans="1:7">
      <c r="A70" s="21" t="s">
        <v>64</v>
      </c>
      <c r="B70" s="21" t="s">
        <v>113</v>
      </c>
      <c r="C70" s="21">
        <v>1</v>
      </c>
      <c r="D70" s="21"/>
      <c r="E70" s="21"/>
      <c r="F70" s="21" t="s">
        <v>24</v>
      </c>
      <c r="G70" s="21" t="s">
        <v>25</v>
      </c>
    </row>
    <row r="71" spans="1:7">
      <c r="A71" s="21" t="s">
        <v>64</v>
      </c>
      <c r="B71" s="21" t="s">
        <v>222</v>
      </c>
      <c r="C71" s="21">
        <v>1</v>
      </c>
      <c r="D71" s="21"/>
      <c r="E71" s="21"/>
      <c r="F71" s="21" t="s">
        <v>199</v>
      </c>
      <c r="G71" s="21" t="s">
        <v>200</v>
      </c>
    </row>
    <row r="72" spans="1:7">
      <c r="A72" s="21" t="s">
        <v>64</v>
      </c>
      <c r="B72" s="21" t="s">
        <v>223</v>
      </c>
      <c r="C72" s="21">
        <v>1</v>
      </c>
      <c r="D72" s="21"/>
      <c r="E72" s="21"/>
      <c r="F72" s="21" t="s">
        <v>199</v>
      </c>
      <c r="G72" s="21" t="s">
        <v>200</v>
      </c>
    </row>
    <row r="73" spans="1:7">
      <c r="A73" s="21" t="s">
        <v>64</v>
      </c>
      <c r="B73" s="21" t="s">
        <v>108</v>
      </c>
      <c r="C73" s="21">
        <v>1</v>
      </c>
      <c r="D73" s="21"/>
      <c r="E73" s="21"/>
      <c r="F73" s="21" t="s">
        <v>24</v>
      </c>
      <c r="G73" s="21" t="s">
        <v>55</v>
      </c>
    </row>
    <row r="74" spans="1:7">
      <c r="A74" s="21" t="s">
        <v>64</v>
      </c>
      <c r="B74" s="21" t="s">
        <v>107</v>
      </c>
      <c r="C74" s="21">
        <v>1</v>
      </c>
      <c r="D74" s="21"/>
      <c r="E74" s="21"/>
      <c r="F74" s="21" t="s">
        <v>199</v>
      </c>
      <c r="G74" s="21" t="s">
        <v>200</v>
      </c>
    </row>
    <row r="75" spans="1:7">
      <c r="A75" s="21" t="s">
        <v>64</v>
      </c>
      <c r="B75" s="21" t="s">
        <v>100</v>
      </c>
      <c r="C75" s="21">
        <v>1</v>
      </c>
      <c r="D75" s="21"/>
      <c r="E75" s="21"/>
      <c r="F75" s="21" t="s">
        <v>24</v>
      </c>
      <c r="G75" s="21" t="s">
        <v>25</v>
      </c>
    </row>
    <row r="76" spans="1:7">
      <c r="A76" s="21" t="s">
        <v>64</v>
      </c>
      <c r="B76" s="21" t="s">
        <v>95</v>
      </c>
      <c r="C76" s="21">
        <v>1</v>
      </c>
      <c r="D76" s="21"/>
      <c r="E76" s="21"/>
      <c r="F76" s="21" t="s">
        <v>199</v>
      </c>
      <c r="G76" s="21" t="s">
        <v>200</v>
      </c>
    </row>
    <row r="77" spans="1:7">
      <c r="A77" s="21" t="s">
        <v>64</v>
      </c>
      <c r="B77" s="23" t="s">
        <v>94</v>
      </c>
      <c r="C77" s="22" t="s">
        <v>217</v>
      </c>
      <c r="D77" s="24">
        <v>12262</v>
      </c>
      <c r="E77" s="24" t="s">
        <v>48</v>
      </c>
      <c r="F77" s="21"/>
      <c r="G77" s="21"/>
    </row>
    <row r="78" spans="1:7">
      <c r="A78" s="21" t="s">
        <v>64</v>
      </c>
      <c r="B78" s="21" t="s">
        <v>224</v>
      </c>
      <c r="C78" s="21">
        <v>1</v>
      </c>
      <c r="D78" s="21"/>
      <c r="E78" s="21"/>
      <c r="F78" s="21" t="s">
        <v>199</v>
      </c>
      <c r="G78" s="21" t="s">
        <v>200</v>
      </c>
    </row>
    <row r="79" spans="1:7">
      <c r="A79" s="21" t="s">
        <v>64</v>
      </c>
      <c r="B79" s="21" t="s">
        <v>80</v>
      </c>
      <c r="C79" s="21">
        <v>1</v>
      </c>
      <c r="D79" s="21"/>
      <c r="E79" s="21"/>
      <c r="F79" s="21" t="s">
        <v>24</v>
      </c>
      <c r="G79" s="21" t="s">
        <v>25</v>
      </c>
    </row>
    <row r="80" spans="1:7">
      <c r="A80" s="21" t="s">
        <v>64</v>
      </c>
      <c r="B80" s="21" t="s">
        <v>211</v>
      </c>
      <c r="C80" s="21">
        <v>1</v>
      </c>
      <c r="D80" s="21"/>
      <c r="E80" s="21"/>
      <c r="F80" s="21" t="s">
        <v>199</v>
      </c>
      <c r="G80" s="21" t="s">
        <v>200</v>
      </c>
    </row>
    <row r="81" spans="1:7">
      <c r="A81" s="21" t="s">
        <v>64</v>
      </c>
      <c r="B81" s="23" t="s">
        <v>66</v>
      </c>
      <c r="C81" s="23" t="s">
        <v>217</v>
      </c>
      <c r="D81" s="24">
        <v>11109</v>
      </c>
      <c r="E81" s="24" t="s">
        <v>32</v>
      </c>
      <c r="F81" s="21"/>
      <c r="G81" s="21"/>
    </row>
    <row r="82" spans="1:7">
      <c r="A82" s="21" t="s">
        <v>64</v>
      </c>
      <c r="B82" s="23" t="s">
        <v>58</v>
      </c>
      <c r="C82" s="22" t="s">
        <v>217</v>
      </c>
      <c r="D82" s="21" t="s">
        <v>59</v>
      </c>
      <c r="E82" s="21" t="s">
        <v>202</v>
      </c>
      <c r="F82" s="21"/>
      <c r="G82" s="21"/>
    </row>
    <row r="83" spans="1:7">
      <c r="A83" s="21" t="s">
        <v>64</v>
      </c>
      <c r="B83" s="21" t="s">
        <v>225</v>
      </c>
      <c r="C83" s="21">
        <v>1</v>
      </c>
      <c r="D83" s="21"/>
      <c r="E83" s="21"/>
      <c r="F83" s="21" t="s">
        <v>199</v>
      </c>
      <c r="G83" s="21" t="s">
        <v>200</v>
      </c>
    </row>
    <row r="84" spans="1:7">
      <c r="A84" s="21" t="s">
        <v>64</v>
      </c>
      <c r="B84" s="21" t="s">
        <v>226</v>
      </c>
      <c r="C84" s="21">
        <v>1</v>
      </c>
      <c r="D84" s="21"/>
      <c r="E84" s="21"/>
      <c r="F84" s="21" t="s">
        <v>199</v>
      </c>
      <c r="G84" s="21" t="s">
        <v>200</v>
      </c>
    </row>
    <row r="85" spans="1:7">
      <c r="A85" s="21" t="s">
        <v>64</v>
      </c>
      <c r="B85" s="21" t="s">
        <v>227</v>
      </c>
      <c r="C85" s="21">
        <v>1</v>
      </c>
      <c r="D85" s="21"/>
      <c r="E85" s="21"/>
      <c r="F85" s="21" t="s">
        <v>199</v>
      </c>
      <c r="G85" s="21" t="s">
        <v>200</v>
      </c>
    </row>
    <row r="86" spans="1:7">
      <c r="A86" s="21" t="s">
        <v>44</v>
      </c>
      <c r="B86" s="21" t="s">
        <v>228</v>
      </c>
      <c r="C86" s="21">
        <v>1</v>
      </c>
      <c r="D86" s="21"/>
      <c r="E86" s="21"/>
      <c r="F86" s="21" t="s">
        <v>199</v>
      </c>
      <c r="G86" s="21" t="s">
        <v>200</v>
      </c>
    </row>
    <row r="87" spans="1:7">
      <c r="A87" s="21" t="s">
        <v>44</v>
      </c>
      <c r="B87" s="21" t="s">
        <v>128</v>
      </c>
      <c r="C87" s="21">
        <v>1</v>
      </c>
      <c r="D87" s="21"/>
      <c r="E87" s="21"/>
      <c r="F87" s="21" t="s">
        <v>24</v>
      </c>
      <c r="G87" s="21" t="s">
        <v>25</v>
      </c>
    </row>
    <row r="88" spans="1:7">
      <c r="A88" s="21" t="s">
        <v>44</v>
      </c>
      <c r="B88" s="21" t="s">
        <v>229</v>
      </c>
      <c r="C88" s="21">
        <v>1</v>
      </c>
      <c r="D88" s="21"/>
      <c r="E88" s="21"/>
      <c r="F88" s="21" t="s">
        <v>199</v>
      </c>
      <c r="G88" s="21" t="s">
        <v>200</v>
      </c>
    </row>
    <row r="89" spans="1:7">
      <c r="A89" s="21" t="s">
        <v>44</v>
      </c>
      <c r="B89" s="21" t="s">
        <v>125</v>
      </c>
      <c r="C89" s="21">
        <v>1</v>
      </c>
      <c r="D89" s="21"/>
      <c r="E89" s="21"/>
      <c r="F89" s="21" t="s">
        <v>199</v>
      </c>
      <c r="G89" s="21" t="s">
        <v>200</v>
      </c>
    </row>
    <row r="90" spans="1:7">
      <c r="A90" s="21" t="s">
        <v>44</v>
      </c>
      <c r="B90" s="23" t="s">
        <v>124</v>
      </c>
      <c r="C90" s="23" t="s">
        <v>230</v>
      </c>
      <c r="D90" s="24">
        <v>83977</v>
      </c>
      <c r="E90" s="24" t="s">
        <v>32</v>
      </c>
      <c r="F90" s="21"/>
      <c r="G90" s="21"/>
    </row>
    <row r="91" spans="1:7">
      <c r="A91" s="21" t="s">
        <v>44</v>
      </c>
      <c r="B91" s="21" t="s">
        <v>123</v>
      </c>
      <c r="C91" s="21">
        <v>1</v>
      </c>
      <c r="D91" s="21"/>
      <c r="E91" s="21"/>
      <c r="F91" s="21" t="s">
        <v>24</v>
      </c>
      <c r="G91" s="21" t="s">
        <v>55</v>
      </c>
    </row>
    <row r="92" spans="1:7">
      <c r="A92" s="21" t="s">
        <v>44</v>
      </c>
      <c r="B92" s="21" t="s">
        <v>122</v>
      </c>
      <c r="C92" s="21">
        <v>1</v>
      </c>
      <c r="D92" s="21"/>
      <c r="E92" s="21"/>
      <c r="F92" s="21" t="s">
        <v>24</v>
      </c>
      <c r="G92" s="21" t="s">
        <v>25</v>
      </c>
    </row>
    <row r="93" spans="1:7">
      <c r="A93" s="21" t="s">
        <v>44</v>
      </c>
      <c r="B93" s="21" t="s">
        <v>121</v>
      </c>
      <c r="C93" s="21">
        <v>1</v>
      </c>
      <c r="D93" s="21"/>
      <c r="E93" s="21"/>
      <c r="F93" s="21" t="s">
        <v>24</v>
      </c>
      <c r="G93" s="21" t="s">
        <v>25</v>
      </c>
    </row>
    <row r="94" spans="1:7">
      <c r="A94" s="21" t="s">
        <v>44</v>
      </c>
      <c r="B94" s="23" t="s">
        <v>117</v>
      </c>
      <c r="C94" s="23" t="s">
        <v>230</v>
      </c>
      <c r="D94" s="24">
        <v>70881</v>
      </c>
      <c r="E94" s="24" t="s">
        <v>32</v>
      </c>
      <c r="F94" s="21"/>
      <c r="G94" s="21"/>
    </row>
    <row r="95" spans="1:7">
      <c r="A95" s="21" t="s">
        <v>44</v>
      </c>
      <c r="B95" s="21" t="s">
        <v>116</v>
      </c>
      <c r="C95" s="21">
        <v>1</v>
      </c>
      <c r="D95" s="21"/>
      <c r="E95" s="21"/>
      <c r="F95" s="21" t="s">
        <v>24</v>
      </c>
      <c r="G95" s="21" t="s">
        <v>25</v>
      </c>
    </row>
    <row r="96" spans="1:7">
      <c r="A96" s="21" t="s">
        <v>44</v>
      </c>
      <c r="B96" s="21" t="s">
        <v>113</v>
      </c>
      <c r="C96" s="21">
        <v>1</v>
      </c>
      <c r="D96" s="21"/>
      <c r="E96" s="21"/>
      <c r="F96" s="21" t="s">
        <v>24</v>
      </c>
      <c r="G96" s="21" t="s">
        <v>25</v>
      </c>
    </row>
    <row r="97" spans="1:7">
      <c r="A97" s="21" t="s">
        <v>44</v>
      </c>
      <c r="B97" s="21" t="s">
        <v>231</v>
      </c>
      <c r="C97" s="21">
        <v>1</v>
      </c>
      <c r="D97" s="21"/>
      <c r="E97" s="21"/>
      <c r="F97" s="21" t="s">
        <v>199</v>
      </c>
      <c r="G97" s="21" t="s">
        <v>200</v>
      </c>
    </row>
    <row r="98" spans="1:7">
      <c r="A98" s="21" t="s">
        <v>44</v>
      </c>
      <c r="B98" s="21" t="s">
        <v>112</v>
      </c>
      <c r="C98" s="21">
        <v>1</v>
      </c>
      <c r="D98" s="21"/>
      <c r="E98" s="21"/>
      <c r="F98" s="21" t="s">
        <v>199</v>
      </c>
      <c r="G98" s="21" t="s">
        <v>200</v>
      </c>
    </row>
    <row r="99" spans="1:7">
      <c r="A99" s="21" t="s">
        <v>44</v>
      </c>
      <c r="B99" s="23" t="s">
        <v>232</v>
      </c>
      <c r="C99" s="23" t="s">
        <v>230</v>
      </c>
      <c r="D99" s="24">
        <v>60281</v>
      </c>
      <c r="E99" s="24" t="s">
        <v>32</v>
      </c>
      <c r="F99" s="21"/>
      <c r="G99" s="21"/>
    </row>
    <row r="100" spans="1:7">
      <c r="A100" s="21" t="s">
        <v>44</v>
      </c>
      <c r="B100" s="21" t="s">
        <v>107</v>
      </c>
      <c r="C100" s="21">
        <v>1</v>
      </c>
      <c r="D100" s="21"/>
      <c r="E100" s="21"/>
      <c r="F100" s="21" t="s">
        <v>24</v>
      </c>
      <c r="G100" s="21" t="s">
        <v>55</v>
      </c>
    </row>
    <row r="101" spans="1:7">
      <c r="A101" s="21" t="s">
        <v>44</v>
      </c>
      <c r="B101" s="21" t="s">
        <v>233</v>
      </c>
      <c r="C101" s="21">
        <v>1</v>
      </c>
      <c r="D101" s="21"/>
      <c r="E101" s="21"/>
      <c r="F101" s="21" t="s">
        <v>199</v>
      </c>
      <c r="G101" s="21" t="s">
        <v>200</v>
      </c>
    </row>
    <row r="102" spans="1:7">
      <c r="A102" s="21" t="s">
        <v>44</v>
      </c>
      <c r="B102" s="21" t="s">
        <v>99</v>
      </c>
      <c r="C102" s="21">
        <v>1</v>
      </c>
      <c r="D102" s="24"/>
      <c r="E102" s="21"/>
      <c r="F102" s="21" t="s">
        <v>199</v>
      </c>
      <c r="G102" s="21" t="s">
        <v>200</v>
      </c>
    </row>
    <row r="103" spans="1:7">
      <c r="A103" s="21" t="s">
        <v>44</v>
      </c>
      <c r="B103" s="21" t="s">
        <v>80</v>
      </c>
      <c r="C103" s="21">
        <v>1</v>
      </c>
      <c r="D103" s="21"/>
      <c r="E103" s="21"/>
      <c r="F103" s="21" t="s">
        <v>24</v>
      </c>
      <c r="G103" s="21" t="s">
        <v>25</v>
      </c>
    </row>
    <row r="104" spans="1:7">
      <c r="A104" s="21" t="s">
        <v>44</v>
      </c>
      <c r="B104" s="23" t="s">
        <v>47</v>
      </c>
      <c r="C104" s="23" t="s">
        <v>230</v>
      </c>
      <c r="D104" s="24">
        <v>94084</v>
      </c>
      <c r="E104" s="24" t="s">
        <v>48</v>
      </c>
      <c r="F104" s="21"/>
      <c r="G104" s="21"/>
    </row>
    <row r="105" spans="1:7">
      <c r="A105" s="21" t="s">
        <v>44</v>
      </c>
      <c r="B105" s="21" t="s">
        <v>234</v>
      </c>
      <c r="C105" s="21">
        <v>1</v>
      </c>
      <c r="D105" s="21"/>
      <c r="E105" s="21"/>
      <c r="F105" s="21" t="s">
        <v>199</v>
      </c>
      <c r="G105" s="21" t="s">
        <v>200</v>
      </c>
    </row>
    <row r="106" spans="1:7">
      <c r="A106" s="18" t="s">
        <v>19</v>
      </c>
      <c r="B106" s="18" t="s">
        <v>130</v>
      </c>
      <c r="C106" s="18">
        <v>1</v>
      </c>
      <c r="D106" s="18"/>
      <c r="E106" s="18"/>
      <c r="F106" s="18" t="s">
        <v>199</v>
      </c>
      <c r="G106" s="18" t="s">
        <v>200</v>
      </c>
    </row>
    <row r="107" spans="1:7">
      <c r="A107" s="18" t="s">
        <v>19</v>
      </c>
      <c r="B107" s="22" t="s">
        <v>129</v>
      </c>
      <c r="C107" s="22" t="s">
        <v>230</v>
      </c>
      <c r="D107" s="18" t="s">
        <v>72</v>
      </c>
      <c r="E107" s="18" t="s">
        <v>48</v>
      </c>
      <c r="F107" s="18"/>
      <c r="G107" s="18"/>
    </row>
    <row r="108" spans="1:7">
      <c r="A108" s="18" t="s">
        <v>19</v>
      </c>
      <c r="B108" s="18" t="s">
        <v>235</v>
      </c>
      <c r="C108" s="18">
        <v>1</v>
      </c>
      <c r="D108" s="18"/>
      <c r="E108" s="18"/>
      <c r="F108" s="18" t="s">
        <v>199</v>
      </c>
      <c r="G108" s="18" t="s">
        <v>200</v>
      </c>
    </row>
    <row r="109" spans="1:7">
      <c r="A109" s="18" t="s">
        <v>19</v>
      </c>
      <c r="B109" s="18" t="s">
        <v>236</v>
      </c>
      <c r="C109" s="18">
        <v>1</v>
      </c>
      <c r="D109" s="18"/>
      <c r="E109" s="18"/>
      <c r="F109" s="18" t="s">
        <v>199</v>
      </c>
      <c r="G109" s="18" t="s">
        <v>200</v>
      </c>
    </row>
    <row r="110" spans="1:7">
      <c r="A110" s="18" t="s">
        <v>19</v>
      </c>
      <c r="B110" s="18" t="s">
        <v>126</v>
      </c>
      <c r="C110" s="18">
        <v>1</v>
      </c>
      <c r="D110" s="19"/>
      <c r="E110" s="19"/>
      <c r="F110" s="18" t="s">
        <v>199</v>
      </c>
      <c r="G110" s="18" t="s">
        <v>200</v>
      </c>
    </row>
    <row r="111" spans="1:7">
      <c r="A111" s="18" t="s">
        <v>19</v>
      </c>
      <c r="B111" s="22" t="s">
        <v>125</v>
      </c>
      <c r="C111" s="22" t="s">
        <v>230</v>
      </c>
      <c r="D111" s="19">
        <v>92751</v>
      </c>
      <c r="E111" s="19" t="s">
        <v>32</v>
      </c>
      <c r="F111" s="18"/>
      <c r="G111" s="18"/>
    </row>
    <row r="112" spans="1:7">
      <c r="A112" s="18" t="s">
        <v>19</v>
      </c>
      <c r="B112" s="22" t="s">
        <v>124</v>
      </c>
      <c r="C112" s="22" t="s">
        <v>230</v>
      </c>
      <c r="D112" s="18" t="s">
        <v>72</v>
      </c>
      <c r="E112" s="18" t="s">
        <v>48</v>
      </c>
      <c r="F112" s="18"/>
      <c r="G112" s="18"/>
    </row>
    <row r="113" spans="1:7">
      <c r="A113" s="18" t="s">
        <v>19</v>
      </c>
      <c r="B113" s="18" t="s">
        <v>123</v>
      </c>
      <c r="C113" s="18">
        <v>1</v>
      </c>
      <c r="D113" s="18"/>
      <c r="E113" s="18"/>
      <c r="F113" s="18" t="s">
        <v>24</v>
      </c>
      <c r="G113" s="18" t="s">
        <v>25</v>
      </c>
    </row>
    <row r="114" spans="1:7">
      <c r="A114" s="18" t="s">
        <v>19</v>
      </c>
      <c r="B114" s="18" t="s">
        <v>122</v>
      </c>
      <c r="C114" s="18">
        <v>1</v>
      </c>
      <c r="D114" s="19"/>
      <c r="E114" s="19"/>
      <c r="F114" s="18" t="s">
        <v>24</v>
      </c>
      <c r="G114" s="18" t="s">
        <v>55</v>
      </c>
    </row>
    <row r="115" spans="1:7">
      <c r="A115" s="18" t="s">
        <v>19</v>
      </c>
      <c r="B115" s="18" t="s">
        <v>121</v>
      </c>
      <c r="C115" s="18">
        <v>1</v>
      </c>
      <c r="D115" s="18"/>
      <c r="E115" s="18"/>
      <c r="F115" s="18" t="s">
        <v>24</v>
      </c>
      <c r="G115" s="18" t="s">
        <v>25</v>
      </c>
    </row>
    <row r="116" spans="1:7">
      <c r="A116" s="18" t="s">
        <v>19</v>
      </c>
      <c r="B116" s="22" t="s">
        <v>204</v>
      </c>
      <c r="C116" s="22" t="s">
        <v>230</v>
      </c>
      <c r="D116" s="18" t="s">
        <v>72</v>
      </c>
      <c r="E116" s="18" t="s">
        <v>48</v>
      </c>
      <c r="F116" s="18"/>
      <c r="G116" s="18"/>
    </row>
    <row r="117" spans="1:7">
      <c r="A117" s="18" t="s">
        <v>19</v>
      </c>
      <c r="B117" s="22" t="s">
        <v>113</v>
      </c>
      <c r="C117" s="22" t="s">
        <v>230</v>
      </c>
      <c r="D117" s="19">
        <v>30390</v>
      </c>
      <c r="E117" s="19" t="s">
        <v>48</v>
      </c>
      <c r="F117" s="18"/>
      <c r="G117" s="18"/>
    </row>
    <row r="118" spans="1:7">
      <c r="A118" s="18" t="s">
        <v>19</v>
      </c>
      <c r="B118" s="18" t="s">
        <v>237</v>
      </c>
      <c r="C118" s="18">
        <v>1</v>
      </c>
      <c r="D118" s="18"/>
      <c r="E118" s="18"/>
      <c r="F118" s="18" t="s">
        <v>199</v>
      </c>
      <c r="G118" s="18" t="s">
        <v>200</v>
      </c>
    </row>
    <row r="119" spans="1:7">
      <c r="A119" s="18" t="s">
        <v>19</v>
      </c>
      <c r="B119" s="22" t="s">
        <v>238</v>
      </c>
      <c r="C119" s="22" t="s">
        <v>230</v>
      </c>
      <c r="D119" s="19">
        <v>54182</v>
      </c>
      <c r="E119" s="19" t="s">
        <v>48</v>
      </c>
      <c r="F119" s="18"/>
      <c r="G119" s="18"/>
    </row>
    <row r="120" spans="1:7">
      <c r="A120" s="18" t="s">
        <v>19</v>
      </c>
      <c r="B120" s="18" t="s">
        <v>239</v>
      </c>
      <c r="C120" s="18">
        <v>1</v>
      </c>
      <c r="D120" s="18"/>
      <c r="E120" s="18"/>
      <c r="F120" s="18" t="s">
        <v>199</v>
      </c>
      <c r="G120" s="18" t="s">
        <v>200</v>
      </c>
    </row>
    <row r="121" spans="1:7">
      <c r="A121" s="18" t="s">
        <v>19</v>
      </c>
      <c r="B121" s="18" t="s">
        <v>108</v>
      </c>
      <c r="C121" s="18">
        <v>1</v>
      </c>
      <c r="D121" s="18"/>
      <c r="E121" s="18"/>
      <c r="F121" s="18" t="s">
        <v>199</v>
      </c>
      <c r="G121" s="18" t="s">
        <v>200</v>
      </c>
    </row>
    <row r="122" spans="1:7">
      <c r="A122" s="18" t="s">
        <v>19</v>
      </c>
      <c r="B122" s="18" t="s">
        <v>107</v>
      </c>
      <c r="C122" s="18">
        <v>1</v>
      </c>
      <c r="D122" s="19"/>
      <c r="E122" s="18"/>
      <c r="F122" s="18" t="s">
        <v>199</v>
      </c>
      <c r="G122" s="18" t="s">
        <v>200</v>
      </c>
    </row>
    <row r="123" spans="1:7">
      <c r="A123" s="18" t="s">
        <v>19</v>
      </c>
      <c r="B123" s="22" t="s">
        <v>106</v>
      </c>
      <c r="C123" s="22" t="s">
        <v>230</v>
      </c>
      <c r="D123" s="18" t="s">
        <v>72</v>
      </c>
      <c r="E123" s="18" t="s">
        <v>48</v>
      </c>
      <c r="F123" s="18"/>
      <c r="G123" s="18"/>
    </row>
    <row r="124" spans="1:7">
      <c r="A124" s="18" t="s">
        <v>19</v>
      </c>
      <c r="B124" s="22" t="s">
        <v>104</v>
      </c>
      <c r="C124" s="22" t="s">
        <v>230</v>
      </c>
      <c r="D124" s="19">
        <v>67871</v>
      </c>
      <c r="E124" s="19" t="s">
        <v>32</v>
      </c>
      <c r="F124" s="18"/>
      <c r="G124" s="18"/>
    </row>
    <row r="125" spans="1:7">
      <c r="A125" s="18" t="s">
        <v>19</v>
      </c>
      <c r="B125" s="18" t="s">
        <v>101</v>
      </c>
      <c r="C125" s="18">
        <v>1</v>
      </c>
      <c r="D125" s="18"/>
      <c r="E125" s="18"/>
      <c r="F125" s="18" t="s">
        <v>24</v>
      </c>
      <c r="G125" s="18" t="s">
        <v>55</v>
      </c>
    </row>
    <row r="126" spans="1:7">
      <c r="A126" s="18" t="s">
        <v>19</v>
      </c>
      <c r="B126" s="18" t="s">
        <v>100</v>
      </c>
      <c r="C126" s="18">
        <v>1</v>
      </c>
      <c r="D126" s="18"/>
      <c r="E126" s="18"/>
      <c r="F126" s="18" t="s">
        <v>24</v>
      </c>
      <c r="G126" s="18" t="s">
        <v>55</v>
      </c>
    </row>
    <row r="127" spans="1:7">
      <c r="A127" s="18" t="s">
        <v>19</v>
      </c>
      <c r="B127" s="22" t="s">
        <v>95</v>
      </c>
      <c r="C127" s="22" t="s">
        <v>230</v>
      </c>
      <c r="D127" s="18" t="s">
        <v>72</v>
      </c>
      <c r="E127" s="18" t="s">
        <v>48</v>
      </c>
      <c r="F127" s="18"/>
      <c r="G127" s="18"/>
    </row>
    <row r="128" spans="1:7">
      <c r="A128" s="18" t="s">
        <v>19</v>
      </c>
      <c r="B128" s="18" t="s">
        <v>240</v>
      </c>
      <c r="C128" s="18">
        <v>1</v>
      </c>
      <c r="D128" s="18"/>
      <c r="E128" s="18"/>
      <c r="F128" s="18" t="s">
        <v>199</v>
      </c>
      <c r="G128" s="18" t="s">
        <v>200</v>
      </c>
    </row>
    <row r="129" spans="1:7">
      <c r="A129" s="18" t="s">
        <v>19</v>
      </c>
      <c r="B129" s="18" t="s">
        <v>241</v>
      </c>
      <c r="C129" s="18">
        <v>1</v>
      </c>
      <c r="D129" s="18"/>
      <c r="E129" s="18"/>
      <c r="F129" s="18" t="s">
        <v>199</v>
      </c>
      <c r="G129" s="18" t="s">
        <v>200</v>
      </c>
    </row>
    <row r="130" spans="1:7">
      <c r="A130" s="18" t="s">
        <v>19</v>
      </c>
      <c r="B130" s="18" t="s">
        <v>93</v>
      </c>
      <c r="C130" s="18">
        <v>1</v>
      </c>
      <c r="D130" s="18"/>
      <c r="E130" s="18"/>
      <c r="F130" s="18" t="s">
        <v>24</v>
      </c>
      <c r="G130" s="18" t="s">
        <v>25</v>
      </c>
    </row>
    <row r="131" spans="1:7">
      <c r="A131" s="18" t="s">
        <v>19</v>
      </c>
      <c r="B131" s="18" t="s">
        <v>242</v>
      </c>
      <c r="C131" s="18">
        <v>1</v>
      </c>
      <c r="D131" s="18"/>
      <c r="E131" s="18"/>
      <c r="F131" s="18" t="s">
        <v>199</v>
      </c>
      <c r="G131" s="18" t="s">
        <v>200</v>
      </c>
    </row>
    <row r="132" spans="1:7">
      <c r="A132" s="18" t="s">
        <v>19</v>
      </c>
      <c r="B132" s="18" t="s">
        <v>85</v>
      </c>
      <c r="C132" s="18">
        <v>1</v>
      </c>
      <c r="D132" s="18"/>
      <c r="E132" s="18"/>
      <c r="F132" s="18" t="s">
        <v>199</v>
      </c>
      <c r="G132" s="18" t="s">
        <v>200</v>
      </c>
    </row>
    <row r="133" spans="1:7">
      <c r="A133" s="18" t="s">
        <v>19</v>
      </c>
      <c r="B133" s="18" t="s">
        <v>243</v>
      </c>
      <c r="C133" s="18">
        <v>1</v>
      </c>
      <c r="D133" s="18"/>
      <c r="E133" s="18"/>
      <c r="F133" s="18" t="s">
        <v>199</v>
      </c>
      <c r="G133" s="18" t="s">
        <v>200</v>
      </c>
    </row>
    <row r="134" spans="1:7">
      <c r="A134" s="18" t="s">
        <v>19</v>
      </c>
      <c r="B134" s="18" t="s">
        <v>211</v>
      </c>
      <c r="C134" s="18">
        <v>1</v>
      </c>
      <c r="D134" s="18"/>
      <c r="E134" s="18"/>
      <c r="F134" s="18" t="s">
        <v>199</v>
      </c>
      <c r="G134" s="18" t="s">
        <v>200</v>
      </c>
    </row>
    <row r="135" spans="1:7">
      <c r="A135" s="18" t="s">
        <v>19</v>
      </c>
      <c r="B135" s="18" t="s">
        <v>58</v>
      </c>
      <c r="C135" s="18">
        <v>1</v>
      </c>
      <c r="D135" s="18"/>
      <c r="E135" s="18"/>
      <c r="F135" s="18" t="s">
        <v>24</v>
      </c>
      <c r="G135" s="18" t="s">
        <v>25</v>
      </c>
    </row>
    <row r="136" spans="1:7">
      <c r="A136" s="18" t="s">
        <v>19</v>
      </c>
      <c r="B136" s="18" t="s">
        <v>23</v>
      </c>
      <c r="C136" s="18">
        <v>1</v>
      </c>
      <c r="D136" s="18"/>
      <c r="E136" s="18"/>
      <c r="F136" s="18" t="s">
        <v>24</v>
      </c>
      <c r="G136" s="18" t="s">
        <v>25</v>
      </c>
    </row>
    <row r="137" spans="1:7">
      <c r="A137" s="18" t="s">
        <v>69</v>
      </c>
      <c r="B137" s="18" t="s">
        <v>131</v>
      </c>
      <c r="C137" s="18">
        <v>1</v>
      </c>
      <c r="D137" s="18"/>
      <c r="E137" s="18"/>
      <c r="F137" s="18" t="s">
        <v>24</v>
      </c>
      <c r="G137" s="18" t="s">
        <v>55</v>
      </c>
    </row>
    <row r="138" spans="1:7">
      <c r="A138" s="18" t="s">
        <v>69</v>
      </c>
      <c r="B138" s="22" t="s">
        <v>130</v>
      </c>
      <c r="C138" s="22" t="s">
        <v>217</v>
      </c>
      <c r="D138" s="18" t="s">
        <v>72</v>
      </c>
      <c r="E138" s="18" t="s">
        <v>48</v>
      </c>
      <c r="F138" s="18"/>
      <c r="G138" s="18"/>
    </row>
    <row r="139" spans="1:7">
      <c r="A139" s="18" t="s">
        <v>69</v>
      </c>
      <c r="B139" s="18" t="s">
        <v>129</v>
      </c>
      <c r="C139" s="18">
        <v>1</v>
      </c>
      <c r="D139" s="18"/>
      <c r="E139" s="18"/>
      <c r="F139" s="18" t="s">
        <v>199</v>
      </c>
      <c r="G139" s="18" t="s">
        <v>200</v>
      </c>
    </row>
    <row r="140" spans="1:7">
      <c r="A140" s="18" t="s">
        <v>69</v>
      </c>
      <c r="B140" s="18" t="s">
        <v>244</v>
      </c>
      <c r="C140" s="18">
        <v>1</v>
      </c>
      <c r="D140" s="18"/>
      <c r="E140" s="18"/>
      <c r="F140" s="18" t="s">
        <v>199</v>
      </c>
      <c r="G140" s="18" t="s">
        <v>200</v>
      </c>
    </row>
    <row r="141" spans="1:7">
      <c r="A141" s="18" t="s">
        <v>69</v>
      </c>
      <c r="B141" s="18" t="s">
        <v>127</v>
      </c>
      <c r="C141" s="18">
        <v>1</v>
      </c>
      <c r="D141" s="19"/>
      <c r="E141" s="19"/>
      <c r="F141" s="18" t="s">
        <v>199</v>
      </c>
      <c r="G141" s="18" t="s">
        <v>200</v>
      </c>
    </row>
    <row r="142" spans="1:7">
      <c r="A142" s="18" t="s">
        <v>69</v>
      </c>
      <c r="B142" s="22" t="s">
        <v>126</v>
      </c>
      <c r="C142" s="22" t="s">
        <v>217</v>
      </c>
      <c r="D142" s="19" t="s">
        <v>72</v>
      </c>
      <c r="E142" s="19" t="s">
        <v>48</v>
      </c>
      <c r="F142" s="18"/>
      <c r="G142" s="18"/>
    </row>
    <row r="143" spans="1:7">
      <c r="A143" s="18" t="s">
        <v>69</v>
      </c>
      <c r="B143" s="18" t="s">
        <v>208</v>
      </c>
      <c r="C143" s="18">
        <v>1</v>
      </c>
      <c r="D143" s="18"/>
      <c r="E143" s="18"/>
      <c r="F143" s="18" t="s">
        <v>199</v>
      </c>
      <c r="G143" s="18" t="s">
        <v>200</v>
      </c>
    </row>
    <row r="144" spans="1:7">
      <c r="A144" s="18" t="s">
        <v>69</v>
      </c>
      <c r="B144" s="18" t="s">
        <v>207</v>
      </c>
      <c r="C144" s="18">
        <v>1</v>
      </c>
      <c r="D144" s="18"/>
      <c r="E144" s="18"/>
      <c r="F144" s="18" t="s">
        <v>199</v>
      </c>
      <c r="G144" s="18" t="s">
        <v>200</v>
      </c>
    </row>
    <row r="145" spans="1:7">
      <c r="A145" s="18" t="s">
        <v>69</v>
      </c>
      <c r="B145" s="18" t="s">
        <v>124</v>
      </c>
      <c r="C145" s="18">
        <v>1</v>
      </c>
      <c r="D145" s="19" t="s">
        <v>245</v>
      </c>
      <c r="E145" s="19" t="s">
        <v>48</v>
      </c>
      <c r="F145" s="18"/>
      <c r="G145" s="18"/>
    </row>
    <row r="146" spans="1:7">
      <c r="A146" s="18" t="s">
        <v>69</v>
      </c>
      <c r="B146" s="18" t="s">
        <v>123</v>
      </c>
      <c r="C146" s="18">
        <v>1</v>
      </c>
      <c r="D146" s="18"/>
      <c r="E146" s="18"/>
      <c r="F146" s="18" t="s">
        <v>199</v>
      </c>
      <c r="G146" s="18" t="s">
        <v>200</v>
      </c>
    </row>
    <row r="147" spans="1:7">
      <c r="A147" s="18" t="s">
        <v>69</v>
      </c>
      <c r="B147" s="18" t="s">
        <v>246</v>
      </c>
      <c r="C147" s="18">
        <v>1</v>
      </c>
      <c r="D147" s="18"/>
      <c r="E147" s="18"/>
      <c r="F147" s="18" t="s">
        <v>199</v>
      </c>
      <c r="G147" s="18" t="s">
        <v>200</v>
      </c>
    </row>
    <row r="148" spans="1:7">
      <c r="A148" s="18" t="s">
        <v>69</v>
      </c>
      <c r="B148" s="18" t="s">
        <v>122</v>
      </c>
      <c r="C148" s="18">
        <v>1</v>
      </c>
      <c r="D148" s="19"/>
      <c r="E148" s="19"/>
      <c r="F148" s="18" t="s">
        <v>24</v>
      </c>
      <c r="G148" s="18" t="s">
        <v>25</v>
      </c>
    </row>
    <row r="149" spans="1:7">
      <c r="A149" s="18" t="s">
        <v>69</v>
      </c>
      <c r="B149" s="22" t="s">
        <v>121</v>
      </c>
      <c r="C149" s="22" t="s">
        <v>217</v>
      </c>
      <c r="D149" s="19">
        <v>78948</v>
      </c>
      <c r="E149" s="19" t="s">
        <v>48</v>
      </c>
      <c r="F149" s="18"/>
      <c r="G149" s="18"/>
    </row>
    <row r="150" spans="1:7">
      <c r="A150" s="18" t="s">
        <v>69</v>
      </c>
      <c r="B150" s="18" t="s">
        <v>118</v>
      </c>
      <c r="C150" s="18">
        <v>1</v>
      </c>
      <c r="D150" s="19"/>
      <c r="E150" s="19"/>
      <c r="F150" s="18" t="s">
        <v>199</v>
      </c>
      <c r="G150" s="18" t="s">
        <v>200</v>
      </c>
    </row>
    <row r="151" spans="1:7">
      <c r="A151" s="18" t="s">
        <v>69</v>
      </c>
      <c r="B151" s="18" t="s">
        <v>117</v>
      </c>
      <c r="C151" s="18">
        <v>1</v>
      </c>
      <c r="D151" s="18"/>
      <c r="E151" s="18"/>
      <c r="F151" s="18" t="s">
        <v>199</v>
      </c>
      <c r="G151" s="18" t="s">
        <v>200</v>
      </c>
    </row>
    <row r="152" spans="1:7">
      <c r="A152" s="18" t="s">
        <v>69</v>
      </c>
      <c r="B152" s="18" t="s">
        <v>116</v>
      </c>
      <c r="C152" s="18">
        <v>1</v>
      </c>
      <c r="D152" s="18"/>
      <c r="E152" s="18"/>
      <c r="F152" s="18" t="s">
        <v>199</v>
      </c>
      <c r="G152" s="18" t="s">
        <v>200</v>
      </c>
    </row>
    <row r="153" spans="1:7">
      <c r="A153" s="18" t="s">
        <v>69</v>
      </c>
      <c r="B153" s="18" t="s">
        <v>113</v>
      </c>
      <c r="C153" s="18">
        <v>1</v>
      </c>
      <c r="D153" s="19"/>
      <c r="E153" s="18"/>
      <c r="F153" s="18" t="s">
        <v>24</v>
      </c>
      <c r="G153" s="18" t="s">
        <v>25</v>
      </c>
    </row>
    <row r="154" spans="1:7">
      <c r="A154" s="18" t="s">
        <v>69</v>
      </c>
      <c r="B154" s="22" t="s">
        <v>223</v>
      </c>
      <c r="C154" s="22" t="s">
        <v>217</v>
      </c>
      <c r="D154" s="19">
        <v>25726</v>
      </c>
      <c r="E154" s="19" t="s">
        <v>48</v>
      </c>
      <c r="F154" s="18"/>
      <c r="G154" s="18"/>
    </row>
    <row r="155" spans="1:7">
      <c r="A155" s="18" t="s">
        <v>69</v>
      </c>
      <c r="B155" s="22" t="s">
        <v>108</v>
      </c>
      <c r="C155" s="22" t="s">
        <v>217</v>
      </c>
      <c r="D155" s="19">
        <v>24857</v>
      </c>
      <c r="E155" s="19" t="s">
        <v>32</v>
      </c>
      <c r="F155" s="18"/>
      <c r="G155" s="18"/>
    </row>
    <row r="156" spans="1:7">
      <c r="A156" s="18" t="s">
        <v>69</v>
      </c>
      <c r="B156" s="18" t="s">
        <v>107</v>
      </c>
      <c r="C156" s="18">
        <v>1</v>
      </c>
      <c r="D156" s="18"/>
      <c r="E156" s="18"/>
      <c r="F156" s="18" t="s">
        <v>199</v>
      </c>
      <c r="G156" s="18" t="s">
        <v>200</v>
      </c>
    </row>
    <row r="157" spans="1:7">
      <c r="A157" s="18" t="s">
        <v>69</v>
      </c>
      <c r="B157" s="18" t="s">
        <v>106</v>
      </c>
      <c r="C157" s="18">
        <v>1</v>
      </c>
      <c r="D157" s="18"/>
      <c r="E157" s="18"/>
      <c r="F157" s="18" t="s">
        <v>199</v>
      </c>
      <c r="G157" s="18" t="s">
        <v>200</v>
      </c>
    </row>
    <row r="158" spans="1:7">
      <c r="A158" s="18" t="s">
        <v>69</v>
      </c>
      <c r="B158" s="18" t="s">
        <v>105</v>
      </c>
      <c r="C158" s="18">
        <v>1</v>
      </c>
      <c r="D158" s="18"/>
      <c r="E158" s="18"/>
      <c r="F158" s="18" t="s">
        <v>199</v>
      </c>
      <c r="G158" s="18" t="s">
        <v>200</v>
      </c>
    </row>
    <row r="159" spans="1:7">
      <c r="A159" s="18" t="s">
        <v>69</v>
      </c>
      <c r="B159" s="18" t="s">
        <v>100</v>
      </c>
      <c r="C159" s="18">
        <v>1</v>
      </c>
      <c r="D159" s="18"/>
      <c r="E159" s="18"/>
      <c r="F159" s="18" t="s">
        <v>24</v>
      </c>
      <c r="G159" s="18" t="s">
        <v>25</v>
      </c>
    </row>
    <row r="160" spans="1:7">
      <c r="A160" s="18" t="s">
        <v>69</v>
      </c>
      <c r="B160" s="18" t="s">
        <v>95</v>
      </c>
      <c r="C160" s="18">
        <v>1</v>
      </c>
      <c r="D160" s="18"/>
      <c r="E160" s="18"/>
      <c r="F160" s="18" t="s">
        <v>199</v>
      </c>
      <c r="G160" s="18" t="s">
        <v>200</v>
      </c>
    </row>
    <row r="161" spans="1:7">
      <c r="A161" s="18" t="s">
        <v>69</v>
      </c>
      <c r="B161" s="18" t="s">
        <v>94</v>
      </c>
      <c r="C161" s="18">
        <v>1</v>
      </c>
      <c r="D161" s="18"/>
      <c r="E161" s="18"/>
      <c r="F161" s="18" t="s">
        <v>24</v>
      </c>
      <c r="G161" s="18" t="s">
        <v>25</v>
      </c>
    </row>
    <row r="162" spans="1:7">
      <c r="A162" s="18" t="s">
        <v>69</v>
      </c>
      <c r="B162" s="22" t="s">
        <v>224</v>
      </c>
      <c r="C162" s="22" t="s">
        <v>217</v>
      </c>
      <c r="D162" s="18" t="s">
        <v>72</v>
      </c>
      <c r="E162" s="18" t="s">
        <v>48</v>
      </c>
      <c r="F162" s="18"/>
      <c r="G162" s="18"/>
    </row>
    <row r="163" spans="1:7">
      <c r="A163" s="18" t="s">
        <v>69</v>
      </c>
      <c r="B163" s="18" t="s">
        <v>85</v>
      </c>
      <c r="C163" s="18">
        <v>1</v>
      </c>
      <c r="D163" s="18"/>
      <c r="E163" s="18"/>
      <c r="F163" s="18" t="s">
        <v>199</v>
      </c>
      <c r="G163" s="18" t="s">
        <v>200</v>
      </c>
    </row>
    <row r="164" spans="1:7">
      <c r="A164" s="18" t="s">
        <v>69</v>
      </c>
      <c r="B164" s="22" t="s">
        <v>80</v>
      </c>
      <c r="C164" s="22" t="s">
        <v>217</v>
      </c>
      <c r="D164" s="18">
        <v>26557</v>
      </c>
      <c r="E164" s="18" t="s">
        <v>32</v>
      </c>
      <c r="F164" s="18"/>
      <c r="G164" s="18"/>
    </row>
    <row r="165" spans="1:7">
      <c r="A165" s="18" t="s">
        <v>69</v>
      </c>
      <c r="B165" s="18" t="s">
        <v>211</v>
      </c>
      <c r="C165" s="18">
        <v>1</v>
      </c>
      <c r="D165" s="18"/>
      <c r="E165" s="18"/>
      <c r="F165" s="18" t="s">
        <v>199</v>
      </c>
      <c r="G165" s="18" t="s">
        <v>200</v>
      </c>
    </row>
    <row r="166" spans="1:7">
      <c r="A166" s="18" t="s">
        <v>69</v>
      </c>
      <c r="B166" s="22" t="s">
        <v>71</v>
      </c>
      <c r="C166" s="22" t="s">
        <v>217</v>
      </c>
      <c r="D166" s="18" t="s">
        <v>72</v>
      </c>
      <c r="E166" s="18" t="s">
        <v>48</v>
      </c>
      <c r="F166" s="18"/>
      <c r="G166" s="18"/>
    </row>
    <row r="167" spans="1:7">
      <c r="A167" s="18" t="s">
        <v>69</v>
      </c>
      <c r="B167" s="18" t="s">
        <v>201</v>
      </c>
      <c r="C167" s="18">
        <v>1</v>
      </c>
      <c r="D167" s="18"/>
      <c r="E167" s="18"/>
      <c r="F167" s="18" t="s">
        <v>199</v>
      </c>
      <c r="G167" s="18" t="s">
        <v>200</v>
      </c>
    </row>
    <row r="168" spans="1:7">
      <c r="A168" s="18" t="s">
        <v>69</v>
      </c>
      <c r="B168" s="18" t="s">
        <v>58</v>
      </c>
      <c r="C168" s="18">
        <v>1</v>
      </c>
      <c r="D168" s="18"/>
      <c r="E168" s="18"/>
      <c r="F168" s="18" t="s">
        <v>199</v>
      </c>
      <c r="G168" s="18" t="s">
        <v>200</v>
      </c>
    </row>
    <row r="169" spans="1:7">
      <c r="A169" s="18" t="s">
        <v>69</v>
      </c>
      <c r="B169" s="18" t="s">
        <v>23</v>
      </c>
      <c r="C169" s="18">
        <v>1</v>
      </c>
      <c r="D169" s="18"/>
      <c r="E169" s="18"/>
      <c r="F169" s="18" t="s">
        <v>199</v>
      </c>
      <c r="G169" s="18" t="s">
        <v>200</v>
      </c>
    </row>
    <row r="170" spans="1:7">
      <c r="A170" s="18" t="s">
        <v>69</v>
      </c>
      <c r="B170" s="18" t="s">
        <v>227</v>
      </c>
      <c r="C170" s="18">
        <v>1</v>
      </c>
      <c r="D170" s="18"/>
      <c r="E170" s="18"/>
      <c r="F170" s="18" t="s">
        <v>199</v>
      </c>
      <c r="G170" s="18" t="s">
        <v>200</v>
      </c>
    </row>
    <row r="171" spans="1:7">
      <c r="A171" s="18" t="s">
        <v>75</v>
      </c>
      <c r="B171" s="22" t="s">
        <v>58</v>
      </c>
      <c r="C171" s="22" t="s">
        <v>217</v>
      </c>
      <c r="D171" s="18">
        <v>14403</v>
      </c>
      <c r="E171" s="18" t="s">
        <v>32</v>
      </c>
      <c r="F171" s="18"/>
      <c r="G171" s="18"/>
    </row>
    <row r="172" spans="1:7">
      <c r="A172" s="18" t="s">
        <v>75</v>
      </c>
      <c r="B172" s="18" t="s">
        <v>66</v>
      </c>
      <c r="C172" s="18">
        <v>1</v>
      </c>
      <c r="D172" s="18"/>
      <c r="E172" s="18"/>
      <c r="F172" s="18" t="s">
        <v>199</v>
      </c>
      <c r="G172" s="18" t="s">
        <v>200</v>
      </c>
    </row>
    <row r="173" spans="1:7">
      <c r="A173" s="18" t="s">
        <v>75</v>
      </c>
      <c r="B173" s="18" t="s">
        <v>71</v>
      </c>
      <c r="C173" s="18">
        <v>1</v>
      </c>
      <c r="D173" s="18"/>
      <c r="E173" s="18"/>
      <c r="F173" s="18" t="s">
        <v>24</v>
      </c>
      <c r="G173" s="18" t="s">
        <v>55</v>
      </c>
    </row>
    <row r="174" spans="1:7">
      <c r="A174" s="18" t="s">
        <v>75</v>
      </c>
      <c r="B174" s="18" t="s">
        <v>211</v>
      </c>
      <c r="C174" s="18">
        <v>1</v>
      </c>
      <c r="D174" s="18"/>
      <c r="E174" s="18"/>
      <c r="F174" s="18" t="s">
        <v>199</v>
      </c>
      <c r="G174" s="18" t="s">
        <v>200</v>
      </c>
    </row>
    <row r="175" spans="1:7">
      <c r="A175" s="18" t="s">
        <v>75</v>
      </c>
      <c r="B175" s="18" t="s">
        <v>80</v>
      </c>
      <c r="C175" s="18">
        <v>1</v>
      </c>
      <c r="D175" s="18"/>
      <c r="E175" s="18"/>
      <c r="F175" s="18" t="s">
        <v>24</v>
      </c>
      <c r="G175" s="18" t="s">
        <v>25</v>
      </c>
    </row>
    <row r="176" spans="1:7">
      <c r="A176" s="18" t="s">
        <v>75</v>
      </c>
      <c r="B176" s="22" t="s">
        <v>224</v>
      </c>
      <c r="C176" s="22" t="s">
        <v>217</v>
      </c>
      <c r="D176" s="18">
        <v>70899</v>
      </c>
      <c r="E176" s="18" t="s">
        <v>32</v>
      </c>
      <c r="F176" s="18"/>
      <c r="G176" s="18"/>
    </row>
    <row r="177" spans="1:7">
      <c r="A177" s="18" t="s">
        <v>75</v>
      </c>
      <c r="B177" s="18" t="s">
        <v>94</v>
      </c>
      <c r="C177" s="18">
        <v>1</v>
      </c>
      <c r="D177" s="18"/>
      <c r="E177" s="18"/>
      <c r="F177" s="18" t="s">
        <v>24</v>
      </c>
      <c r="G177" s="18" t="s">
        <v>55</v>
      </c>
    </row>
    <row r="178" spans="1:7">
      <c r="A178" s="18" t="s">
        <v>75</v>
      </c>
      <c r="B178" s="18" t="s">
        <v>100</v>
      </c>
      <c r="C178" s="18">
        <v>1</v>
      </c>
      <c r="D178" s="18"/>
      <c r="E178" s="18"/>
      <c r="F178" s="18" t="s">
        <v>24</v>
      </c>
      <c r="G178" s="18" t="s">
        <v>55</v>
      </c>
    </row>
    <row r="179" spans="1:7">
      <c r="A179" s="18" t="s">
        <v>75</v>
      </c>
      <c r="B179" s="18" t="s">
        <v>105</v>
      </c>
      <c r="C179" s="18">
        <v>1</v>
      </c>
      <c r="D179" s="18"/>
      <c r="E179" s="18"/>
      <c r="F179" s="18" t="s">
        <v>24</v>
      </c>
      <c r="G179" s="18" t="s">
        <v>55</v>
      </c>
    </row>
    <row r="180" spans="1:7">
      <c r="A180" s="18" t="s">
        <v>75</v>
      </c>
      <c r="B180" s="18" t="s">
        <v>106</v>
      </c>
      <c r="C180" s="18">
        <v>1</v>
      </c>
      <c r="D180" s="18"/>
      <c r="E180" s="18"/>
      <c r="F180" s="18" t="s">
        <v>199</v>
      </c>
      <c r="G180" s="18" t="s">
        <v>200</v>
      </c>
    </row>
    <row r="181" spans="1:7">
      <c r="A181" s="18" t="s">
        <v>75</v>
      </c>
      <c r="B181" s="18" t="s">
        <v>107</v>
      </c>
      <c r="C181" s="18">
        <v>1</v>
      </c>
      <c r="D181" s="18"/>
      <c r="E181" s="18"/>
      <c r="F181" s="18" t="s">
        <v>199</v>
      </c>
      <c r="G181" s="18" t="s">
        <v>200</v>
      </c>
    </row>
    <row r="182" spans="1:7">
      <c r="A182" s="18" t="s">
        <v>75</v>
      </c>
      <c r="B182" s="18" t="s">
        <v>108</v>
      </c>
      <c r="C182" s="18">
        <v>1</v>
      </c>
      <c r="D182" s="18"/>
      <c r="E182" s="18"/>
      <c r="F182" s="18" t="s">
        <v>24</v>
      </c>
      <c r="G182" s="18" t="s">
        <v>55</v>
      </c>
    </row>
    <row r="183" spans="1:7">
      <c r="A183" s="18" t="s">
        <v>75</v>
      </c>
      <c r="B183" s="18" t="s">
        <v>113</v>
      </c>
      <c r="C183" s="18">
        <v>1</v>
      </c>
      <c r="D183" s="18"/>
      <c r="E183" s="18"/>
      <c r="F183" s="18" t="s">
        <v>24</v>
      </c>
      <c r="G183" s="18" t="s">
        <v>55</v>
      </c>
    </row>
    <row r="184" spans="1:7">
      <c r="A184" s="18" t="s">
        <v>75</v>
      </c>
      <c r="B184" s="18" t="s">
        <v>117</v>
      </c>
      <c r="C184" s="18">
        <v>1</v>
      </c>
      <c r="D184" s="18"/>
      <c r="E184" s="18"/>
      <c r="F184" s="18" t="s">
        <v>199</v>
      </c>
      <c r="G184" s="18" t="s">
        <v>200</v>
      </c>
    </row>
    <row r="185" spans="1:7">
      <c r="A185" s="18" t="s">
        <v>75</v>
      </c>
      <c r="B185" s="18" t="s">
        <v>121</v>
      </c>
      <c r="C185" s="18">
        <v>1</v>
      </c>
      <c r="D185" s="18"/>
      <c r="E185" s="18"/>
      <c r="F185" s="18" t="s">
        <v>24</v>
      </c>
      <c r="G185" s="18" t="s">
        <v>25</v>
      </c>
    </row>
    <row r="186" spans="1:7">
      <c r="A186" s="18" t="s">
        <v>75</v>
      </c>
      <c r="B186" s="18" t="s">
        <v>122</v>
      </c>
      <c r="C186" s="18">
        <v>1</v>
      </c>
      <c r="D186" s="18"/>
      <c r="E186" s="18"/>
      <c r="F186" s="18" t="s">
        <v>24</v>
      </c>
      <c r="G186" s="18" t="s">
        <v>25</v>
      </c>
    </row>
    <row r="187" spans="1:7">
      <c r="A187" s="18" t="s">
        <v>75</v>
      </c>
      <c r="B187" s="22" t="s">
        <v>124</v>
      </c>
      <c r="C187" s="22" t="s">
        <v>217</v>
      </c>
      <c r="D187" s="18">
        <v>36460</v>
      </c>
      <c r="E187" s="18" t="s">
        <v>48</v>
      </c>
      <c r="F187" s="18"/>
      <c r="G187" s="18"/>
    </row>
    <row r="188" spans="1:7">
      <c r="A188" s="18" t="s">
        <v>75</v>
      </c>
      <c r="B188" s="22" t="s">
        <v>127</v>
      </c>
      <c r="C188" s="22" t="s">
        <v>217</v>
      </c>
      <c r="D188" s="18" t="s">
        <v>72</v>
      </c>
      <c r="E188" s="18" t="s">
        <v>48</v>
      </c>
      <c r="F188" s="18"/>
      <c r="G188" s="18"/>
    </row>
    <row r="189" spans="1:7">
      <c r="A189" s="18" t="s">
        <v>75</v>
      </c>
      <c r="B189" s="18" t="s">
        <v>244</v>
      </c>
      <c r="C189" s="18"/>
      <c r="D189" s="18"/>
      <c r="E189" s="18"/>
      <c r="F189" s="18"/>
      <c r="G189" s="18"/>
    </row>
    <row r="190" spans="1:7">
      <c r="A190" s="18" t="s">
        <v>75</v>
      </c>
      <c r="B190" s="18" t="s">
        <v>130</v>
      </c>
      <c r="C190" s="18">
        <v>1</v>
      </c>
      <c r="D190" s="18"/>
      <c r="E190" s="18"/>
      <c r="F190" s="18" t="s">
        <v>199</v>
      </c>
      <c r="G190" s="18" t="s">
        <v>200</v>
      </c>
    </row>
    <row r="191" spans="1:7">
      <c r="A191" s="18" t="s">
        <v>51</v>
      </c>
      <c r="B191" s="21" t="s">
        <v>47</v>
      </c>
      <c r="C191" s="18">
        <v>1</v>
      </c>
      <c r="D191" s="18"/>
      <c r="E191" s="18"/>
      <c r="F191" s="18" t="s">
        <v>24</v>
      </c>
      <c r="G191" s="18" t="s">
        <v>25</v>
      </c>
    </row>
    <row r="192" spans="1:7">
      <c r="A192" s="18" t="s">
        <v>51</v>
      </c>
      <c r="B192" s="21" t="s">
        <v>58</v>
      </c>
      <c r="C192" s="18">
        <v>1</v>
      </c>
      <c r="D192" s="18"/>
      <c r="E192" s="18"/>
      <c r="F192" s="18" t="s">
        <v>24</v>
      </c>
      <c r="G192" s="18" t="s">
        <v>55</v>
      </c>
    </row>
    <row r="193" spans="1:7">
      <c r="A193" s="18" t="s">
        <v>51</v>
      </c>
      <c r="B193" s="21" t="s">
        <v>79</v>
      </c>
      <c r="C193" s="18">
        <v>1</v>
      </c>
      <c r="D193" s="18"/>
      <c r="E193" s="18"/>
      <c r="F193" s="18" t="s">
        <v>24</v>
      </c>
      <c r="G193" s="18" t="s">
        <v>25</v>
      </c>
    </row>
    <row r="194" spans="1:7">
      <c r="A194" s="18" t="s">
        <v>51</v>
      </c>
      <c r="B194" s="21" t="s">
        <v>80</v>
      </c>
      <c r="C194" s="18">
        <v>1</v>
      </c>
      <c r="D194" s="18"/>
      <c r="E194" s="18"/>
      <c r="F194" s="18" t="s">
        <v>24</v>
      </c>
      <c r="G194" s="18" t="s">
        <v>25</v>
      </c>
    </row>
    <row r="195" spans="1:7">
      <c r="A195" s="18" t="s">
        <v>51</v>
      </c>
      <c r="B195" s="21" t="s">
        <v>85</v>
      </c>
      <c r="C195" s="18">
        <v>1</v>
      </c>
      <c r="D195" s="18"/>
      <c r="E195" s="18"/>
      <c r="F195" s="18" t="s">
        <v>199</v>
      </c>
      <c r="G195" s="18" t="s">
        <v>200</v>
      </c>
    </row>
    <row r="196" spans="1:7">
      <c r="A196" s="18" t="s">
        <v>51</v>
      </c>
      <c r="B196" s="21" t="s">
        <v>95</v>
      </c>
      <c r="C196" s="18">
        <v>1</v>
      </c>
      <c r="D196" s="18"/>
      <c r="E196" s="18"/>
      <c r="F196" s="18" t="s">
        <v>24</v>
      </c>
      <c r="G196" s="18" t="s">
        <v>55</v>
      </c>
    </row>
    <row r="197" spans="1:7">
      <c r="A197" s="18" t="s">
        <v>51</v>
      </c>
      <c r="B197" s="21" t="s">
        <v>100</v>
      </c>
      <c r="C197" s="18">
        <v>1</v>
      </c>
      <c r="D197" s="18"/>
      <c r="E197" s="18"/>
      <c r="F197" s="18" t="s">
        <v>199</v>
      </c>
      <c r="G197" s="18" t="s">
        <v>200</v>
      </c>
    </row>
    <row r="198" spans="1:7">
      <c r="A198" s="18" t="s">
        <v>51</v>
      </c>
      <c r="B198" s="21" t="s">
        <v>107</v>
      </c>
      <c r="C198" s="18">
        <v>1</v>
      </c>
      <c r="D198" s="18"/>
      <c r="E198" s="18"/>
      <c r="F198" s="18" t="s">
        <v>199</v>
      </c>
      <c r="G198" s="18" t="s">
        <v>200</v>
      </c>
    </row>
    <row r="199" spans="1:7">
      <c r="A199" s="18" t="s">
        <v>51</v>
      </c>
      <c r="B199" s="21" t="s">
        <v>232</v>
      </c>
      <c r="C199" s="18">
        <v>1</v>
      </c>
      <c r="D199" s="18"/>
      <c r="E199" s="18"/>
      <c r="F199" s="18" t="s">
        <v>199</v>
      </c>
      <c r="G199" s="18" t="s">
        <v>200</v>
      </c>
    </row>
    <row r="200" spans="1:7">
      <c r="A200" s="18" t="s">
        <v>51</v>
      </c>
      <c r="B200" s="21" t="s">
        <v>113</v>
      </c>
      <c r="C200" s="18">
        <v>1</v>
      </c>
      <c r="D200" s="18"/>
      <c r="E200" s="18"/>
      <c r="F200" s="18" t="s">
        <v>24</v>
      </c>
      <c r="G200" s="18" t="s">
        <v>25</v>
      </c>
    </row>
    <row r="201" spans="1:7">
      <c r="A201" s="18" t="s">
        <v>51</v>
      </c>
      <c r="B201" s="21" t="s">
        <v>116</v>
      </c>
      <c r="C201" s="18">
        <v>1</v>
      </c>
      <c r="D201" s="18"/>
      <c r="E201" s="18"/>
      <c r="F201" s="18" t="s">
        <v>24</v>
      </c>
      <c r="G201" s="18" t="s">
        <v>25</v>
      </c>
    </row>
    <row r="202" spans="1:7">
      <c r="A202" s="18" t="s">
        <v>51</v>
      </c>
      <c r="B202" s="23" t="s">
        <v>117</v>
      </c>
      <c r="C202" s="22" t="s">
        <v>217</v>
      </c>
      <c r="D202" s="19">
        <v>34426</v>
      </c>
      <c r="E202" s="19" t="s">
        <v>48</v>
      </c>
      <c r="F202" s="18"/>
      <c r="G202" s="18"/>
    </row>
    <row r="203" spans="1:7">
      <c r="A203" s="18" t="s">
        <v>51</v>
      </c>
      <c r="B203" s="21" t="s">
        <v>118</v>
      </c>
      <c r="C203" s="18">
        <v>1</v>
      </c>
      <c r="D203" s="18"/>
      <c r="E203" s="18"/>
      <c r="F203" s="18" t="s">
        <v>199</v>
      </c>
      <c r="G203" s="18" t="s">
        <v>200</v>
      </c>
    </row>
    <row r="204" spans="1:7">
      <c r="A204" s="18" t="s">
        <v>51</v>
      </c>
      <c r="B204" s="21" t="s">
        <v>121</v>
      </c>
      <c r="C204" s="18">
        <v>1</v>
      </c>
      <c r="D204" s="18"/>
      <c r="E204" s="18"/>
      <c r="F204" s="18" t="s">
        <v>24</v>
      </c>
      <c r="G204" s="18" t="s">
        <v>25</v>
      </c>
    </row>
    <row r="205" spans="1:7">
      <c r="A205" s="18" t="s">
        <v>51</v>
      </c>
      <c r="B205" s="21" t="s">
        <v>122</v>
      </c>
      <c r="C205" s="18">
        <v>1</v>
      </c>
      <c r="D205" s="18"/>
      <c r="E205" s="18"/>
      <c r="F205" s="18" t="s">
        <v>24</v>
      </c>
      <c r="G205" s="18" t="s">
        <v>55</v>
      </c>
    </row>
    <row r="206" spans="1:7">
      <c r="A206" s="18" t="s">
        <v>51</v>
      </c>
      <c r="B206" s="21" t="s">
        <v>246</v>
      </c>
      <c r="C206" s="18">
        <v>1</v>
      </c>
      <c r="D206" s="18"/>
      <c r="E206" s="18"/>
      <c r="F206" s="18" t="s">
        <v>199</v>
      </c>
      <c r="G206" s="18" t="s">
        <v>200</v>
      </c>
    </row>
    <row r="207" spans="1:7">
      <c r="A207" s="18" t="s">
        <v>51</v>
      </c>
      <c r="B207" s="23" t="s">
        <v>219</v>
      </c>
      <c r="C207" s="22" t="s">
        <v>217</v>
      </c>
      <c r="D207" s="18" t="s">
        <v>247</v>
      </c>
      <c r="E207" s="18" t="s">
        <v>48</v>
      </c>
      <c r="F207" s="18"/>
      <c r="G207" s="18"/>
    </row>
    <row r="208" spans="1:7">
      <c r="A208" s="18" t="s">
        <v>51</v>
      </c>
      <c r="B208" s="21" t="s">
        <v>123</v>
      </c>
      <c r="C208" s="18">
        <v>1</v>
      </c>
      <c r="D208" s="18"/>
      <c r="E208" s="18"/>
      <c r="F208" s="18" t="s">
        <v>24</v>
      </c>
      <c r="G208" s="18" t="s">
        <v>55</v>
      </c>
    </row>
    <row r="209" spans="1:7">
      <c r="A209" s="18" t="s">
        <v>51</v>
      </c>
      <c r="B209" s="21" t="s">
        <v>124</v>
      </c>
      <c r="C209" s="18">
        <v>1</v>
      </c>
      <c r="D209" s="18"/>
      <c r="E209" s="18"/>
      <c r="F209" s="18" t="s">
        <v>24</v>
      </c>
      <c r="G209" s="18" t="s">
        <v>25</v>
      </c>
    </row>
    <row r="210" spans="1:7">
      <c r="A210" s="18" t="s">
        <v>51</v>
      </c>
      <c r="B210" s="21" t="s">
        <v>235</v>
      </c>
      <c r="C210" s="18">
        <v>1</v>
      </c>
      <c r="D210" s="18"/>
      <c r="E210" s="18"/>
      <c r="F210" s="18" t="s">
        <v>199</v>
      </c>
      <c r="G210" s="18" t="s">
        <v>200</v>
      </c>
    </row>
    <row r="211" spans="1:7">
      <c r="A211" s="18" t="s">
        <v>28</v>
      </c>
      <c r="B211" s="22" t="s">
        <v>23</v>
      </c>
      <c r="C211" s="22" t="s">
        <v>217</v>
      </c>
      <c r="D211" s="19" t="s">
        <v>31</v>
      </c>
      <c r="E211" s="19" t="s">
        <v>32</v>
      </c>
      <c r="F211" s="18"/>
      <c r="G211" s="18"/>
    </row>
    <row r="212" spans="1:7">
      <c r="A212" s="18" t="s">
        <v>28</v>
      </c>
      <c r="B212" s="22" t="s">
        <v>47</v>
      </c>
      <c r="C212" s="22" t="s">
        <v>217</v>
      </c>
      <c r="D212" s="19" t="s">
        <v>31</v>
      </c>
      <c r="E212" s="19" t="s">
        <v>32</v>
      </c>
      <c r="F212" s="18"/>
      <c r="G212" s="18"/>
    </row>
    <row r="213" spans="1:7">
      <c r="A213" s="18" t="s">
        <v>28</v>
      </c>
      <c r="B213" s="22" t="s">
        <v>58</v>
      </c>
      <c r="C213" s="22" t="s">
        <v>217</v>
      </c>
      <c r="D213" s="19">
        <v>96249</v>
      </c>
      <c r="E213" s="19" t="s">
        <v>32</v>
      </c>
      <c r="F213" s="18"/>
      <c r="G213" s="18"/>
    </row>
    <row r="214" spans="1:7">
      <c r="A214" s="18" t="s">
        <v>28</v>
      </c>
      <c r="B214" s="18" t="s">
        <v>211</v>
      </c>
      <c r="C214" s="18">
        <v>1</v>
      </c>
      <c r="D214" s="18"/>
      <c r="E214" s="18"/>
      <c r="F214" s="18" t="s">
        <v>199</v>
      </c>
      <c r="G214" s="18" t="s">
        <v>200</v>
      </c>
    </row>
    <row r="215" spans="1:7">
      <c r="A215" s="18" t="s">
        <v>28</v>
      </c>
      <c r="B215" s="22" t="s">
        <v>80</v>
      </c>
      <c r="C215" s="22" t="s">
        <v>217</v>
      </c>
      <c r="D215" s="19" t="s">
        <v>31</v>
      </c>
      <c r="E215" s="19" t="s">
        <v>32</v>
      </c>
      <c r="F215" s="18"/>
      <c r="G215" s="18"/>
    </row>
    <row r="216" spans="1:7">
      <c r="A216" s="18" t="s">
        <v>28</v>
      </c>
      <c r="B216" s="18" t="s">
        <v>85</v>
      </c>
      <c r="C216" s="18">
        <v>1</v>
      </c>
      <c r="D216" s="18"/>
      <c r="E216" s="18"/>
      <c r="F216" s="18" t="s">
        <v>24</v>
      </c>
      <c r="G216" s="18" t="s">
        <v>25</v>
      </c>
    </row>
    <row r="217" spans="1:7">
      <c r="A217" s="18" t="s">
        <v>28</v>
      </c>
      <c r="B217" s="18" t="s">
        <v>93</v>
      </c>
      <c r="C217" s="18">
        <v>1</v>
      </c>
      <c r="D217" s="18"/>
      <c r="E217" s="18"/>
      <c r="F217" s="18" t="s">
        <v>24</v>
      </c>
      <c r="G217" s="18" t="s">
        <v>25</v>
      </c>
    </row>
    <row r="218" spans="1:7">
      <c r="A218" s="18" t="s">
        <v>28</v>
      </c>
      <c r="B218" s="18" t="s">
        <v>248</v>
      </c>
      <c r="C218" s="18">
        <v>1</v>
      </c>
      <c r="D218" s="18"/>
      <c r="E218" s="18"/>
      <c r="F218" s="18" t="s">
        <v>199</v>
      </c>
      <c r="G218" s="18" t="s">
        <v>200</v>
      </c>
    </row>
    <row r="219" spans="1:7">
      <c r="A219" s="18" t="s">
        <v>28</v>
      </c>
      <c r="B219" s="18" t="s">
        <v>95</v>
      </c>
      <c r="C219" s="18">
        <v>1</v>
      </c>
      <c r="D219" s="18"/>
      <c r="E219" s="18"/>
      <c r="F219" s="18" t="s">
        <v>24</v>
      </c>
      <c r="G219" s="18" t="s">
        <v>55</v>
      </c>
    </row>
    <row r="220" spans="1:7">
      <c r="A220" s="18" t="s">
        <v>28</v>
      </c>
      <c r="B220" s="18" t="s">
        <v>100</v>
      </c>
      <c r="C220" s="18">
        <v>1</v>
      </c>
      <c r="D220" s="18"/>
      <c r="E220" s="18"/>
      <c r="F220" s="18" t="s">
        <v>24</v>
      </c>
      <c r="G220" s="18" t="s">
        <v>25</v>
      </c>
    </row>
    <row r="221" spans="1:7">
      <c r="A221" s="18" t="s">
        <v>28</v>
      </c>
      <c r="B221" s="18" t="s">
        <v>106</v>
      </c>
      <c r="C221" s="18">
        <v>1</v>
      </c>
      <c r="D221" s="18"/>
      <c r="E221" s="18"/>
      <c r="F221" s="18" t="s">
        <v>199</v>
      </c>
      <c r="G221" s="18" t="s">
        <v>200</v>
      </c>
    </row>
    <row r="222" spans="1:7">
      <c r="A222" s="18" t="s">
        <v>28</v>
      </c>
      <c r="B222" s="22" t="s">
        <v>108</v>
      </c>
      <c r="C222" s="22" t="s">
        <v>217</v>
      </c>
      <c r="D222" s="19">
        <v>78356</v>
      </c>
      <c r="E222" s="19" t="s">
        <v>48</v>
      </c>
      <c r="F222" s="18"/>
      <c r="G222" s="18"/>
    </row>
    <row r="223" spans="1:7">
      <c r="A223" s="18" t="s">
        <v>28</v>
      </c>
      <c r="B223" s="18" t="s">
        <v>232</v>
      </c>
      <c r="C223" s="18">
        <v>1</v>
      </c>
      <c r="D223" s="18"/>
      <c r="E223" s="18"/>
      <c r="F223" s="18" t="s">
        <v>199</v>
      </c>
      <c r="G223" s="18" t="s">
        <v>200</v>
      </c>
    </row>
    <row r="224" spans="1:7">
      <c r="A224" s="18" t="s">
        <v>28</v>
      </c>
      <c r="B224" s="22" t="s">
        <v>113</v>
      </c>
      <c r="C224" s="22" t="s">
        <v>217</v>
      </c>
      <c r="D224" s="19">
        <v>63713</v>
      </c>
      <c r="E224" s="19" t="s">
        <v>32</v>
      </c>
      <c r="F224" s="18"/>
      <c r="G224" s="18"/>
    </row>
    <row r="225" spans="1:7">
      <c r="A225" s="18" t="s">
        <v>28</v>
      </c>
      <c r="B225" s="22" t="s">
        <v>116</v>
      </c>
      <c r="C225" s="22" t="s">
        <v>217</v>
      </c>
      <c r="D225" s="19" t="s">
        <v>31</v>
      </c>
      <c r="E225" s="19" t="s">
        <v>32</v>
      </c>
      <c r="F225" s="18"/>
      <c r="G225" s="18"/>
    </row>
    <row r="226" spans="1:7">
      <c r="A226" s="18" t="s">
        <v>28</v>
      </c>
      <c r="B226" s="18" t="s">
        <v>117</v>
      </c>
      <c r="C226" s="18">
        <v>1</v>
      </c>
      <c r="D226" s="18"/>
      <c r="E226" s="18"/>
      <c r="F226" s="18" t="s">
        <v>199</v>
      </c>
      <c r="G226" s="18" t="s">
        <v>200</v>
      </c>
    </row>
    <row r="227" spans="1:7">
      <c r="A227" s="18" t="s">
        <v>28</v>
      </c>
      <c r="B227" s="22" t="s">
        <v>121</v>
      </c>
      <c r="C227" s="22" t="s">
        <v>217</v>
      </c>
      <c r="D227" s="19">
        <v>42744</v>
      </c>
      <c r="E227" s="19" t="s">
        <v>48</v>
      </c>
      <c r="F227" s="18"/>
      <c r="G227" s="18"/>
    </row>
    <row r="228" spans="1:7">
      <c r="A228" s="18" t="s">
        <v>28</v>
      </c>
      <c r="B228" s="18" t="s">
        <v>122</v>
      </c>
      <c r="C228" s="18">
        <v>1</v>
      </c>
      <c r="D228" s="18"/>
      <c r="E228" s="18"/>
      <c r="F228" s="18" t="s">
        <v>24</v>
      </c>
      <c r="G228" s="18" t="s">
        <v>55</v>
      </c>
    </row>
    <row r="229" spans="1:7">
      <c r="A229" s="18" t="s">
        <v>28</v>
      </c>
      <c r="B229" s="18" t="s">
        <v>219</v>
      </c>
      <c r="C229" s="18">
        <v>1</v>
      </c>
      <c r="D229" s="18"/>
      <c r="E229" s="18"/>
      <c r="F229" s="18" t="s">
        <v>199</v>
      </c>
      <c r="G229" s="18" t="s">
        <v>200</v>
      </c>
    </row>
    <row r="230" spans="1:7">
      <c r="A230" s="18" t="s">
        <v>28</v>
      </c>
      <c r="B230" s="18" t="s">
        <v>123</v>
      </c>
      <c r="C230" s="18">
        <v>1</v>
      </c>
      <c r="D230" s="18"/>
      <c r="E230" s="18"/>
      <c r="F230" s="18" t="s">
        <v>24</v>
      </c>
      <c r="G230" s="18" t="s">
        <v>55</v>
      </c>
    </row>
    <row r="231" spans="1:7">
      <c r="A231" s="18" t="s">
        <v>28</v>
      </c>
      <c r="B231" s="18" t="s">
        <v>124</v>
      </c>
      <c r="C231" s="18">
        <v>1</v>
      </c>
      <c r="D231" s="18"/>
      <c r="E231" s="18"/>
      <c r="F231" s="18" t="s">
        <v>199</v>
      </c>
      <c r="G231" s="18" t="s">
        <v>200</v>
      </c>
    </row>
    <row r="232" spans="1:7">
      <c r="A232" s="18" t="s">
        <v>28</v>
      </c>
      <c r="B232" s="18" t="s">
        <v>125</v>
      </c>
      <c r="C232" s="18">
        <v>1</v>
      </c>
      <c r="D232" s="18"/>
      <c r="E232" s="18"/>
      <c r="F232" s="18" t="s">
        <v>24</v>
      </c>
      <c r="G232" s="18" t="s">
        <v>55</v>
      </c>
    </row>
    <row r="233" spans="1:7">
      <c r="A233" s="18" t="s">
        <v>28</v>
      </c>
      <c r="B233" s="18" t="s">
        <v>126</v>
      </c>
      <c r="C233" s="18">
        <v>1</v>
      </c>
      <c r="D233" s="18"/>
      <c r="E233" s="18"/>
      <c r="F233" s="18" t="s">
        <v>199</v>
      </c>
      <c r="G233" s="18" t="s">
        <v>200</v>
      </c>
    </row>
    <row r="234" spans="1:7">
      <c r="A234" s="18" t="s">
        <v>28</v>
      </c>
      <c r="B234" s="22" t="s">
        <v>129</v>
      </c>
      <c r="C234" s="22" t="s">
        <v>217</v>
      </c>
      <c r="D234" s="19">
        <v>18153</v>
      </c>
      <c r="E234" s="19" t="s">
        <v>32</v>
      </c>
      <c r="F234" s="18"/>
      <c r="G234" s="18"/>
    </row>
    <row r="235" spans="1:7">
      <c r="A235" s="18" t="s">
        <v>28</v>
      </c>
      <c r="B235" s="18" t="s">
        <v>216</v>
      </c>
      <c r="C235" s="18">
        <v>1</v>
      </c>
      <c r="D235" s="18"/>
      <c r="E235" s="18"/>
      <c r="F235" s="18" t="s">
        <v>199</v>
      </c>
      <c r="G235" s="18" t="s">
        <v>200</v>
      </c>
    </row>
    <row r="236" spans="1:7">
      <c r="A236" s="18" t="s">
        <v>28</v>
      </c>
      <c r="B236" s="22" t="s">
        <v>130</v>
      </c>
      <c r="C236" s="22" t="s">
        <v>217</v>
      </c>
      <c r="D236" s="19">
        <v>50882</v>
      </c>
      <c r="E236" s="19" t="s">
        <v>48</v>
      </c>
      <c r="F236" s="18"/>
      <c r="G236" s="18"/>
    </row>
    <row r="237" spans="1:7">
      <c r="A237" s="18" t="s">
        <v>77</v>
      </c>
      <c r="B237" s="18" t="s">
        <v>211</v>
      </c>
      <c r="C237" s="18">
        <v>1</v>
      </c>
      <c r="D237" s="19"/>
      <c r="E237" s="19"/>
      <c r="F237" s="18" t="s">
        <v>199</v>
      </c>
      <c r="G237" s="18" t="s">
        <v>200</v>
      </c>
    </row>
    <row r="238" spans="1:7">
      <c r="A238" s="18" t="s">
        <v>77</v>
      </c>
      <c r="B238" s="18" t="s">
        <v>80</v>
      </c>
      <c r="C238" s="18">
        <v>1</v>
      </c>
      <c r="D238" s="19"/>
      <c r="E238" s="19"/>
      <c r="F238" s="18" t="s">
        <v>199</v>
      </c>
      <c r="G238" s="18" t="s">
        <v>200</v>
      </c>
    </row>
    <row r="239" spans="1:7">
      <c r="A239" s="18" t="s">
        <v>77</v>
      </c>
      <c r="B239" s="18" t="s">
        <v>224</v>
      </c>
      <c r="C239" s="18">
        <v>1</v>
      </c>
      <c r="D239" s="19"/>
      <c r="E239" s="19"/>
      <c r="F239" s="18" t="s">
        <v>199</v>
      </c>
      <c r="G239" s="18" t="s">
        <v>200</v>
      </c>
    </row>
    <row r="240" spans="1:7">
      <c r="A240" s="18" t="s">
        <v>77</v>
      </c>
      <c r="B240" s="18" t="s">
        <v>93</v>
      </c>
      <c r="C240" s="18">
        <v>1</v>
      </c>
      <c r="D240" s="18"/>
      <c r="E240" s="18"/>
      <c r="F240" s="18" t="s">
        <v>199</v>
      </c>
      <c r="G240" s="18" t="s">
        <v>200</v>
      </c>
    </row>
    <row r="241" spans="1:7">
      <c r="A241" s="18" t="s">
        <v>77</v>
      </c>
      <c r="B241" s="18" t="s">
        <v>105</v>
      </c>
      <c r="C241" s="18">
        <v>1</v>
      </c>
      <c r="D241" s="19"/>
      <c r="E241" s="19"/>
      <c r="F241" s="18" t="s">
        <v>199</v>
      </c>
      <c r="G241" s="18" t="s">
        <v>200</v>
      </c>
    </row>
    <row r="242" spans="1:7">
      <c r="A242" s="18" t="s">
        <v>77</v>
      </c>
      <c r="B242" s="18" t="s">
        <v>106</v>
      </c>
      <c r="C242" s="18">
        <v>1</v>
      </c>
      <c r="D242" s="18"/>
      <c r="E242" s="18"/>
      <c r="F242" s="18" t="s">
        <v>199</v>
      </c>
      <c r="G242" s="18" t="s">
        <v>200</v>
      </c>
    </row>
    <row r="243" spans="1:7">
      <c r="A243" s="18" t="s">
        <v>77</v>
      </c>
      <c r="B243" s="18" t="s">
        <v>221</v>
      </c>
      <c r="C243" s="18">
        <v>1</v>
      </c>
      <c r="D243" s="18"/>
      <c r="E243" s="18"/>
      <c r="F243" s="18" t="s">
        <v>199</v>
      </c>
      <c r="G243" s="18" t="s">
        <v>200</v>
      </c>
    </row>
    <row r="244" spans="1:7">
      <c r="A244" s="18" t="s">
        <v>77</v>
      </c>
      <c r="B244" s="18" t="s">
        <v>222</v>
      </c>
      <c r="C244" s="18">
        <v>1</v>
      </c>
      <c r="D244" s="18"/>
      <c r="E244" s="18"/>
      <c r="F244" s="18" t="s">
        <v>199</v>
      </c>
      <c r="G244" s="18" t="s">
        <v>200</v>
      </c>
    </row>
    <row r="245" spans="1:7">
      <c r="A245" s="18" t="s">
        <v>77</v>
      </c>
      <c r="B245" s="18" t="s">
        <v>112</v>
      </c>
      <c r="C245" s="18">
        <v>1</v>
      </c>
      <c r="D245" s="18"/>
      <c r="E245" s="18"/>
      <c r="F245" s="18" t="s">
        <v>199</v>
      </c>
      <c r="G245" s="18" t="s">
        <v>200</v>
      </c>
    </row>
    <row r="246" spans="1:7">
      <c r="A246" s="18" t="s">
        <v>77</v>
      </c>
      <c r="B246" s="18" t="s">
        <v>116</v>
      </c>
      <c r="C246" s="18">
        <v>1</v>
      </c>
      <c r="D246" s="18"/>
      <c r="E246" s="18"/>
      <c r="F246" s="18" t="s">
        <v>199</v>
      </c>
      <c r="G246" s="18" t="s">
        <v>200</v>
      </c>
    </row>
    <row r="247" spans="1:7">
      <c r="A247" s="18" t="s">
        <v>77</v>
      </c>
      <c r="B247" s="18" t="s">
        <v>117</v>
      </c>
      <c r="C247" s="18">
        <v>1</v>
      </c>
      <c r="D247" s="19"/>
      <c r="E247" s="19"/>
      <c r="F247" s="18" t="s">
        <v>199</v>
      </c>
      <c r="G247" s="18" t="s">
        <v>200</v>
      </c>
    </row>
    <row r="248" spans="1:7">
      <c r="A248" s="18" t="s">
        <v>77</v>
      </c>
      <c r="B248" s="18" t="s">
        <v>204</v>
      </c>
      <c r="C248" s="18">
        <v>1</v>
      </c>
      <c r="D248" s="18"/>
      <c r="E248" s="18"/>
      <c r="F248" s="18" t="s">
        <v>199</v>
      </c>
      <c r="G248" s="18" t="s">
        <v>200</v>
      </c>
    </row>
    <row r="249" spans="1:7">
      <c r="A249" s="18" t="s">
        <v>77</v>
      </c>
      <c r="B249" s="18" t="s">
        <v>236</v>
      </c>
      <c r="C249" s="18">
        <v>1</v>
      </c>
      <c r="D249" s="19"/>
      <c r="E249" s="19"/>
      <c r="F249" s="18" t="s">
        <v>199</v>
      </c>
      <c r="G249" s="18" t="s">
        <v>200</v>
      </c>
    </row>
    <row r="250" spans="1:7">
      <c r="A250" s="18" t="s">
        <v>77</v>
      </c>
      <c r="B250" s="18" t="s">
        <v>129</v>
      </c>
      <c r="C250" s="18">
        <v>1</v>
      </c>
      <c r="D250" s="19"/>
      <c r="E250" s="19"/>
      <c r="F250" s="18" t="s">
        <v>199</v>
      </c>
      <c r="G250" s="18" t="s">
        <v>200</v>
      </c>
    </row>
    <row r="251" spans="1:7">
      <c r="A251" s="18" t="s">
        <v>77</v>
      </c>
      <c r="B251" s="18" t="s">
        <v>131</v>
      </c>
      <c r="C251" s="18">
        <v>1</v>
      </c>
      <c r="D251" s="18"/>
      <c r="E251" s="18"/>
      <c r="F251" s="18" t="s">
        <v>199</v>
      </c>
      <c r="G251" s="18" t="s">
        <v>200</v>
      </c>
    </row>
    <row r="252" spans="1:7">
      <c r="A252" s="18" t="s">
        <v>77</v>
      </c>
      <c r="B252" s="18" t="s">
        <v>58</v>
      </c>
      <c r="C252" s="18">
        <v>1</v>
      </c>
      <c r="D252" s="19"/>
      <c r="E252" s="19"/>
      <c r="F252" s="18" t="s">
        <v>199</v>
      </c>
      <c r="G252" s="18" t="s">
        <v>200</v>
      </c>
    </row>
    <row r="253" spans="1:7">
      <c r="A253" s="18" t="s">
        <v>77</v>
      </c>
      <c r="B253" s="22" t="s">
        <v>71</v>
      </c>
      <c r="C253" s="22" t="s">
        <v>217</v>
      </c>
      <c r="D253" s="19">
        <v>75768</v>
      </c>
      <c r="E253" s="19" t="s">
        <v>48</v>
      </c>
      <c r="F253" s="18"/>
      <c r="G253" s="18"/>
    </row>
    <row r="254" spans="1:7">
      <c r="A254" s="18" t="s">
        <v>77</v>
      </c>
      <c r="B254" s="22" t="s">
        <v>92</v>
      </c>
      <c r="C254" s="22" t="s">
        <v>217</v>
      </c>
      <c r="D254" s="18" t="s">
        <v>31</v>
      </c>
      <c r="E254" s="18" t="s">
        <v>32</v>
      </c>
      <c r="F254" s="18"/>
      <c r="G254" s="18"/>
    </row>
    <row r="255" spans="1:7">
      <c r="A255" s="18" t="s">
        <v>77</v>
      </c>
      <c r="B255" s="22" t="s">
        <v>98</v>
      </c>
      <c r="C255" s="22" t="s">
        <v>217</v>
      </c>
      <c r="D255" s="19">
        <v>70764</v>
      </c>
      <c r="E255" s="19" t="s">
        <v>48</v>
      </c>
      <c r="F255" s="18"/>
      <c r="G255" s="18"/>
    </row>
    <row r="256" spans="1:7">
      <c r="A256" s="18" t="s">
        <v>77</v>
      </c>
      <c r="B256" s="18" t="s">
        <v>108</v>
      </c>
      <c r="C256" s="18">
        <v>1</v>
      </c>
      <c r="D256" s="18"/>
      <c r="E256" s="18"/>
      <c r="F256" s="18" t="s">
        <v>24</v>
      </c>
      <c r="G256" s="18" t="s">
        <v>55</v>
      </c>
    </row>
    <row r="257" spans="1:7">
      <c r="A257" s="18" t="s">
        <v>77</v>
      </c>
      <c r="B257" s="18" t="s">
        <v>94</v>
      </c>
      <c r="C257" s="18">
        <v>1</v>
      </c>
      <c r="D257" s="18"/>
      <c r="E257" s="18"/>
      <c r="F257" s="18" t="s">
        <v>24</v>
      </c>
      <c r="G257" s="18" t="s">
        <v>55</v>
      </c>
    </row>
    <row r="258" spans="1:7">
      <c r="A258" s="18" t="s">
        <v>77</v>
      </c>
      <c r="B258" s="22" t="s">
        <v>95</v>
      </c>
      <c r="C258" s="22" t="s">
        <v>217</v>
      </c>
      <c r="D258" s="19">
        <v>32660</v>
      </c>
      <c r="E258" s="19" t="s">
        <v>48</v>
      </c>
      <c r="F258" s="18"/>
      <c r="G258" s="18"/>
    </row>
    <row r="259" spans="1:7">
      <c r="A259" s="18" t="s">
        <v>77</v>
      </c>
      <c r="B259" s="22" t="s">
        <v>124</v>
      </c>
      <c r="C259" s="22" t="s">
        <v>217</v>
      </c>
      <c r="D259" s="19">
        <v>37781</v>
      </c>
      <c r="E259" s="19" t="s">
        <v>32</v>
      </c>
      <c r="F259" s="18"/>
      <c r="G259" s="18"/>
    </row>
    <row r="260" spans="1:7">
      <c r="A260" s="18" t="s">
        <v>77</v>
      </c>
      <c r="B260" s="18" t="s">
        <v>122</v>
      </c>
      <c r="C260" s="18">
        <v>1</v>
      </c>
      <c r="D260" s="19"/>
      <c r="E260" s="19"/>
      <c r="F260" s="18" t="s">
        <v>24</v>
      </c>
      <c r="G260" s="18" t="s">
        <v>25</v>
      </c>
    </row>
    <row r="261" spans="1:7">
      <c r="A261" s="18" t="s">
        <v>77</v>
      </c>
      <c r="B261" s="18" t="s">
        <v>130</v>
      </c>
      <c r="C261" s="18">
        <v>1</v>
      </c>
      <c r="D261" s="18"/>
      <c r="E261" s="18"/>
      <c r="F261" s="18" t="s">
        <v>24</v>
      </c>
      <c r="G261" s="18" t="s">
        <v>25</v>
      </c>
    </row>
    <row r="262" spans="1:7">
      <c r="A262" s="18" t="s">
        <v>77</v>
      </c>
      <c r="B262" s="18" t="s">
        <v>121</v>
      </c>
      <c r="C262" s="18">
        <v>1</v>
      </c>
      <c r="D262" s="18"/>
      <c r="E262" s="18"/>
      <c r="F262" s="18" t="s">
        <v>24</v>
      </c>
      <c r="G262" s="18" t="s">
        <v>25</v>
      </c>
    </row>
    <row r="263" spans="1:7">
      <c r="A263" s="18" t="s">
        <v>77</v>
      </c>
      <c r="B263" s="18" t="s">
        <v>125</v>
      </c>
      <c r="C263" s="18">
        <v>1</v>
      </c>
      <c r="D263" s="19"/>
      <c r="E263" s="19"/>
      <c r="F263" s="18" t="s">
        <v>24</v>
      </c>
      <c r="G263" s="18" t="s">
        <v>25</v>
      </c>
    </row>
    <row r="264" spans="1:7">
      <c r="A264" s="18" t="s">
        <v>77</v>
      </c>
      <c r="B264" s="18" t="s">
        <v>113</v>
      </c>
      <c r="C264" s="18">
        <v>1</v>
      </c>
      <c r="D264" s="18"/>
      <c r="E264" s="18"/>
      <c r="F264" s="18" t="s">
        <v>24</v>
      </c>
      <c r="G264" s="18" t="s">
        <v>25</v>
      </c>
    </row>
    <row r="265" spans="1:7">
      <c r="A265" s="18" t="s">
        <v>77</v>
      </c>
      <c r="B265" s="18" t="s">
        <v>100</v>
      </c>
      <c r="C265" s="18">
        <v>1</v>
      </c>
      <c r="D265" s="18"/>
      <c r="E265" s="18"/>
      <c r="F265" s="18" t="s">
        <v>24</v>
      </c>
      <c r="G265" s="18" t="s">
        <v>25</v>
      </c>
    </row>
    <row r="266" spans="1:7">
      <c r="A266" s="18" t="s">
        <v>83</v>
      </c>
      <c r="B266" s="21" t="s">
        <v>58</v>
      </c>
      <c r="C266" s="18">
        <v>1</v>
      </c>
      <c r="D266" s="19"/>
      <c r="E266" s="19"/>
      <c r="F266" s="18" t="s">
        <v>199</v>
      </c>
      <c r="G266" s="18" t="s">
        <v>200</v>
      </c>
    </row>
    <row r="267" spans="1:7">
      <c r="A267" s="18" t="s">
        <v>83</v>
      </c>
      <c r="B267" s="21" t="s">
        <v>71</v>
      </c>
      <c r="C267" s="18">
        <v>1</v>
      </c>
      <c r="D267" s="19"/>
      <c r="E267" s="19"/>
      <c r="F267" s="18"/>
      <c r="G267" s="18"/>
    </row>
    <row r="268" spans="1:7">
      <c r="A268" s="18" t="s">
        <v>83</v>
      </c>
      <c r="B268" s="21" t="s">
        <v>211</v>
      </c>
      <c r="C268" s="18">
        <v>1</v>
      </c>
      <c r="D268" s="19"/>
      <c r="E268" s="19"/>
      <c r="F268" s="18"/>
      <c r="G268" s="18"/>
    </row>
    <row r="269" spans="1:7">
      <c r="A269" s="18" t="s">
        <v>83</v>
      </c>
      <c r="B269" s="21" t="s">
        <v>80</v>
      </c>
      <c r="C269" s="18">
        <v>1</v>
      </c>
      <c r="D269" s="18"/>
      <c r="E269" s="18"/>
      <c r="F269" s="18" t="s">
        <v>24</v>
      </c>
      <c r="G269" s="18" t="s">
        <v>55</v>
      </c>
    </row>
    <row r="270" spans="1:7">
      <c r="A270" s="18" t="s">
        <v>83</v>
      </c>
      <c r="B270" s="21" t="s">
        <v>224</v>
      </c>
      <c r="C270" s="18">
        <v>1</v>
      </c>
      <c r="D270" s="19"/>
      <c r="E270" s="19"/>
      <c r="F270" s="18"/>
      <c r="G270" s="18"/>
    </row>
    <row r="271" spans="1:7">
      <c r="A271" s="18" t="s">
        <v>83</v>
      </c>
      <c r="B271" s="21" t="s">
        <v>249</v>
      </c>
      <c r="C271" s="18">
        <v>1</v>
      </c>
      <c r="D271" s="18"/>
      <c r="E271" s="18"/>
      <c r="F271" s="18"/>
      <c r="G271" s="18"/>
    </row>
    <row r="272" spans="1:7">
      <c r="A272" s="18" t="s">
        <v>83</v>
      </c>
      <c r="B272" s="21" t="s">
        <v>94</v>
      </c>
      <c r="C272" s="18">
        <v>1</v>
      </c>
      <c r="D272" s="18"/>
      <c r="E272" s="18"/>
      <c r="F272" s="18" t="s">
        <v>24</v>
      </c>
      <c r="G272" s="18" t="s">
        <v>55</v>
      </c>
    </row>
    <row r="273" spans="1:7">
      <c r="A273" s="18" t="s">
        <v>83</v>
      </c>
      <c r="B273" s="23" t="s">
        <v>95</v>
      </c>
      <c r="C273" s="22" t="s">
        <v>230</v>
      </c>
      <c r="D273" s="18" t="s">
        <v>31</v>
      </c>
      <c r="E273" s="18" t="s">
        <v>48</v>
      </c>
      <c r="F273" s="18"/>
      <c r="G273" s="18"/>
    </row>
    <row r="274" spans="1:7">
      <c r="A274" s="18" t="s">
        <v>83</v>
      </c>
      <c r="B274" s="21" t="s">
        <v>100</v>
      </c>
      <c r="C274" s="18">
        <v>1</v>
      </c>
      <c r="D274" s="18"/>
      <c r="E274" s="18"/>
      <c r="F274" s="18" t="s">
        <v>24</v>
      </c>
      <c r="G274" s="18" t="s">
        <v>25</v>
      </c>
    </row>
    <row r="275" spans="1:7">
      <c r="A275" s="18" t="s">
        <v>83</v>
      </c>
      <c r="B275" s="21" t="s">
        <v>250</v>
      </c>
      <c r="C275" s="18">
        <v>1</v>
      </c>
      <c r="D275" s="18"/>
      <c r="E275" s="18"/>
      <c r="F275" s="18"/>
      <c r="G275" s="18"/>
    </row>
    <row r="276" spans="1:7">
      <c r="A276" s="18" t="s">
        <v>83</v>
      </c>
      <c r="B276" s="21" t="s">
        <v>105</v>
      </c>
      <c r="C276" s="18">
        <v>1</v>
      </c>
      <c r="D276" s="19"/>
      <c r="E276" s="19"/>
      <c r="F276" s="18" t="s">
        <v>24</v>
      </c>
      <c r="G276" s="18" t="s">
        <v>25</v>
      </c>
    </row>
    <row r="277" spans="1:7">
      <c r="A277" s="18" t="s">
        <v>83</v>
      </c>
      <c r="B277" s="21" t="s">
        <v>108</v>
      </c>
      <c r="C277" s="18">
        <v>1</v>
      </c>
      <c r="D277" s="18"/>
      <c r="E277" s="18"/>
      <c r="F277" s="18" t="s">
        <v>24</v>
      </c>
      <c r="G277" s="18" t="s">
        <v>55</v>
      </c>
    </row>
    <row r="278" spans="1:7">
      <c r="A278" s="18" t="s">
        <v>83</v>
      </c>
      <c r="B278" s="23" t="s">
        <v>112</v>
      </c>
      <c r="C278" s="22" t="s">
        <v>230</v>
      </c>
      <c r="D278" s="19">
        <v>50256</v>
      </c>
      <c r="E278" s="19" t="s">
        <v>48</v>
      </c>
      <c r="F278" s="18"/>
      <c r="G278" s="18"/>
    </row>
    <row r="279" spans="1:7">
      <c r="A279" s="18" t="s">
        <v>83</v>
      </c>
      <c r="B279" s="21" t="s">
        <v>113</v>
      </c>
      <c r="C279" s="18">
        <v>1</v>
      </c>
      <c r="D279" s="19"/>
      <c r="E279" s="19"/>
      <c r="F279" s="18" t="s">
        <v>24</v>
      </c>
      <c r="G279" s="18" t="s">
        <v>25</v>
      </c>
    </row>
    <row r="280" spans="1:7">
      <c r="A280" s="18" t="s">
        <v>83</v>
      </c>
      <c r="B280" s="21" t="s">
        <v>116</v>
      </c>
      <c r="C280" s="18">
        <v>1</v>
      </c>
      <c r="D280" s="18"/>
      <c r="E280" s="18"/>
      <c r="F280" s="18"/>
      <c r="G280" s="18"/>
    </row>
    <row r="281" spans="1:7">
      <c r="A281" s="18" t="s">
        <v>83</v>
      </c>
      <c r="B281" s="21" t="s">
        <v>117</v>
      </c>
      <c r="C281" s="18">
        <v>1</v>
      </c>
      <c r="D281" s="19"/>
      <c r="E281" s="19"/>
      <c r="F281" s="18"/>
      <c r="G281" s="18"/>
    </row>
    <row r="282" spans="1:7">
      <c r="A282" s="18" t="s">
        <v>83</v>
      </c>
      <c r="B282" s="21" t="s">
        <v>118</v>
      </c>
      <c r="C282" s="18">
        <v>1</v>
      </c>
      <c r="D282" s="19"/>
      <c r="E282" s="19"/>
      <c r="F282" s="18"/>
      <c r="G282" s="18"/>
    </row>
    <row r="283" spans="1:7">
      <c r="A283" s="18" t="s">
        <v>83</v>
      </c>
      <c r="B283" s="21" t="s">
        <v>121</v>
      </c>
      <c r="C283" s="18">
        <v>1</v>
      </c>
      <c r="D283" s="18"/>
      <c r="E283" s="18"/>
      <c r="F283" s="18" t="s">
        <v>24</v>
      </c>
      <c r="G283" s="18" t="s">
        <v>55</v>
      </c>
    </row>
    <row r="284" spans="1:7">
      <c r="A284" s="18" t="s">
        <v>83</v>
      </c>
      <c r="B284" s="23" t="s">
        <v>122</v>
      </c>
      <c r="C284" s="22" t="s">
        <v>230</v>
      </c>
      <c r="D284" s="19">
        <v>80299</v>
      </c>
      <c r="E284" s="19" t="s">
        <v>32</v>
      </c>
      <c r="F284" s="18"/>
      <c r="G284" s="18"/>
    </row>
    <row r="285" spans="1:7">
      <c r="A285" s="18" t="s">
        <v>83</v>
      </c>
      <c r="B285" s="21" t="s">
        <v>123</v>
      </c>
      <c r="C285" s="18">
        <v>1</v>
      </c>
      <c r="D285" s="18"/>
      <c r="E285" s="18"/>
      <c r="F285" s="18"/>
      <c r="G285" s="18"/>
    </row>
    <row r="286" spans="1:7">
      <c r="A286" s="18" t="s">
        <v>83</v>
      </c>
      <c r="B286" s="21" t="s">
        <v>124</v>
      </c>
      <c r="C286" s="18">
        <v>1</v>
      </c>
      <c r="D286" s="18"/>
      <c r="E286" s="18"/>
      <c r="F286" s="18"/>
      <c r="G286" s="18"/>
    </row>
    <row r="287" spans="1:7">
      <c r="A287" s="18" t="s">
        <v>83</v>
      </c>
      <c r="B287" s="21" t="s">
        <v>125</v>
      </c>
      <c r="C287" s="18">
        <v>1</v>
      </c>
      <c r="D287" s="19"/>
      <c r="E287" s="19"/>
      <c r="F287" s="18" t="s">
        <v>24</v>
      </c>
      <c r="G287" s="18" t="s">
        <v>55</v>
      </c>
    </row>
    <row r="288" spans="1:7">
      <c r="A288" s="18" t="s">
        <v>83</v>
      </c>
      <c r="B288" s="21" t="s">
        <v>130</v>
      </c>
      <c r="C288" s="18">
        <v>1</v>
      </c>
      <c r="D288" s="19"/>
      <c r="E288" s="19"/>
      <c r="F288" s="18"/>
      <c r="G288" s="18"/>
    </row>
    <row r="289" spans="1:7">
      <c r="A289" s="18" t="s">
        <v>53</v>
      </c>
      <c r="B289" s="18" t="s">
        <v>58</v>
      </c>
      <c r="C289" s="18">
        <v>1</v>
      </c>
      <c r="D289" s="19"/>
      <c r="E289" s="19"/>
      <c r="F289" s="18" t="s">
        <v>199</v>
      </c>
      <c r="G289" s="18" t="s">
        <v>200</v>
      </c>
    </row>
    <row r="290" spans="1:7">
      <c r="A290" s="18" t="s">
        <v>53</v>
      </c>
      <c r="B290" s="18" t="s">
        <v>211</v>
      </c>
      <c r="C290" s="18">
        <v>1</v>
      </c>
      <c r="D290" s="19"/>
      <c r="E290" s="19"/>
      <c r="F290" s="18" t="s">
        <v>199</v>
      </c>
      <c r="G290" s="18" t="s">
        <v>200</v>
      </c>
    </row>
    <row r="291" spans="1:7">
      <c r="A291" s="18" t="s">
        <v>53</v>
      </c>
      <c r="B291" s="18" t="s">
        <v>251</v>
      </c>
      <c r="C291" s="18">
        <v>1</v>
      </c>
      <c r="D291" s="18"/>
      <c r="E291" s="18"/>
      <c r="F291" s="18" t="s">
        <v>199</v>
      </c>
      <c r="G291" s="18" t="s">
        <v>200</v>
      </c>
    </row>
    <row r="292" spans="1:7">
      <c r="A292" s="18" t="s">
        <v>53</v>
      </c>
      <c r="B292" s="18" t="s">
        <v>85</v>
      </c>
      <c r="C292" s="18">
        <v>1</v>
      </c>
      <c r="D292" s="19"/>
      <c r="E292" s="19"/>
      <c r="F292" s="18" t="s">
        <v>199</v>
      </c>
      <c r="G292" s="18" t="s">
        <v>200</v>
      </c>
    </row>
    <row r="293" spans="1:7">
      <c r="A293" s="18" t="s">
        <v>53</v>
      </c>
      <c r="B293" s="18" t="s">
        <v>232</v>
      </c>
      <c r="C293" s="18">
        <v>1</v>
      </c>
      <c r="D293" s="18"/>
      <c r="E293" s="18"/>
      <c r="F293" s="18" t="s">
        <v>199</v>
      </c>
      <c r="G293" s="18" t="s">
        <v>200</v>
      </c>
    </row>
    <row r="294" spans="1:7">
      <c r="A294" s="18" t="s">
        <v>53</v>
      </c>
      <c r="B294" s="18" t="s">
        <v>122</v>
      </c>
      <c r="C294" s="18">
        <v>1</v>
      </c>
      <c r="D294" s="18"/>
      <c r="E294" s="18"/>
      <c r="F294" s="18" t="s">
        <v>199</v>
      </c>
      <c r="G294" s="18" t="s">
        <v>200</v>
      </c>
    </row>
    <row r="295" spans="1:7">
      <c r="A295" s="18" t="s">
        <v>53</v>
      </c>
      <c r="B295" s="22" t="s">
        <v>113</v>
      </c>
      <c r="C295" s="22" t="s">
        <v>217</v>
      </c>
      <c r="D295" s="19">
        <v>16895</v>
      </c>
      <c r="E295" s="18" t="s">
        <v>32</v>
      </c>
      <c r="F295" s="18"/>
      <c r="G295" s="18"/>
    </row>
    <row r="296" spans="1:7">
      <c r="A296" s="18" t="s">
        <v>53</v>
      </c>
      <c r="B296" s="22" t="s">
        <v>125</v>
      </c>
      <c r="C296" s="22" t="s">
        <v>217</v>
      </c>
      <c r="D296" s="18" t="s">
        <v>31</v>
      </c>
      <c r="E296" s="18" t="s">
        <v>32</v>
      </c>
      <c r="F296" s="18"/>
      <c r="G296" s="18"/>
    </row>
    <row r="297" spans="1:7">
      <c r="A297" s="18" t="s">
        <v>53</v>
      </c>
      <c r="B297" s="18" t="s">
        <v>94</v>
      </c>
      <c r="C297" s="18">
        <v>1</v>
      </c>
      <c r="D297" s="19"/>
      <c r="E297" s="19"/>
      <c r="F297" s="18" t="s">
        <v>24</v>
      </c>
      <c r="G297" s="18" t="s">
        <v>25</v>
      </c>
    </row>
    <row r="298" spans="1:7">
      <c r="A298" s="18" t="s">
        <v>53</v>
      </c>
      <c r="B298" s="18" t="s">
        <v>95</v>
      </c>
      <c r="C298" s="18">
        <v>1</v>
      </c>
      <c r="D298" s="18"/>
      <c r="E298" s="18"/>
      <c r="F298" s="18" t="s">
        <v>24</v>
      </c>
      <c r="G298" s="18" t="s">
        <v>55</v>
      </c>
    </row>
    <row r="299" spans="1:7">
      <c r="A299" s="18" t="s">
        <v>53</v>
      </c>
      <c r="B299" s="18" t="s">
        <v>117</v>
      </c>
      <c r="C299" s="18">
        <v>1</v>
      </c>
      <c r="D299" s="19"/>
      <c r="E299" s="19"/>
      <c r="F299" s="18" t="s">
        <v>24</v>
      </c>
      <c r="G299" s="18" t="s">
        <v>55</v>
      </c>
    </row>
    <row r="300" spans="1:7">
      <c r="A300" s="18" t="s">
        <v>53</v>
      </c>
      <c r="B300" s="18" t="s">
        <v>118</v>
      </c>
      <c r="C300" s="18">
        <v>1</v>
      </c>
      <c r="D300" s="19"/>
      <c r="E300" s="19"/>
      <c r="F300" s="18" t="s">
        <v>24</v>
      </c>
      <c r="G300" s="18" t="s">
        <v>55</v>
      </c>
    </row>
    <row r="301" spans="1:7">
      <c r="A301" s="18" t="s">
        <v>53</v>
      </c>
      <c r="B301" s="18" t="s">
        <v>100</v>
      </c>
      <c r="C301" s="18">
        <v>1</v>
      </c>
      <c r="D301" s="18"/>
      <c r="E301" s="18"/>
      <c r="F301" s="18" t="s">
        <v>24</v>
      </c>
      <c r="G301" s="18" t="s">
        <v>25</v>
      </c>
    </row>
    <row r="302" spans="1:7">
      <c r="A302" s="18" t="s">
        <v>53</v>
      </c>
      <c r="B302" s="18" t="s">
        <v>124</v>
      </c>
      <c r="C302" s="18">
        <v>1</v>
      </c>
      <c r="D302" s="19"/>
      <c r="E302" s="19"/>
      <c r="F302" s="18" t="s">
        <v>24</v>
      </c>
      <c r="G302" s="18" t="s">
        <v>25</v>
      </c>
    </row>
    <row r="303" spans="1:7">
      <c r="A303" s="18" t="s">
        <v>53</v>
      </c>
      <c r="B303" s="18" t="s">
        <v>47</v>
      </c>
      <c r="C303" s="18">
        <v>1</v>
      </c>
      <c r="D303" s="19"/>
      <c r="E303" s="19"/>
      <c r="F303" s="18" t="s">
        <v>24</v>
      </c>
      <c r="G303" s="18" t="s">
        <v>25</v>
      </c>
    </row>
    <row r="304" spans="1:7">
      <c r="A304" s="18" t="s">
        <v>53</v>
      </c>
      <c r="B304" s="18" t="s">
        <v>121</v>
      </c>
      <c r="C304" s="18">
        <v>1</v>
      </c>
      <c r="D304" s="18"/>
      <c r="E304" s="18"/>
      <c r="F304" s="18" t="s">
        <v>24</v>
      </c>
      <c r="G304" s="18" t="s">
        <v>25</v>
      </c>
    </row>
    <row r="305" spans="1:7">
      <c r="A305" s="18" t="s">
        <v>53</v>
      </c>
      <c r="B305" s="18" t="s">
        <v>116</v>
      </c>
      <c r="C305" s="18">
        <v>1</v>
      </c>
      <c r="D305" s="19"/>
      <c r="E305" s="19"/>
      <c r="F305" s="18" t="s">
        <v>24</v>
      </c>
      <c r="G305" s="18" t="s">
        <v>55</v>
      </c>
    </row>
    <row r="306" spans="1:7">
      <c r="A306" s="18" t="s">
        <v>53</v>
      </c>
      <c r="B306" s="18" t="s">
        <v>80</v>
      </c>
      <c r="C306" s="18">
        <v>1</v>
      </c>
      <c r="D306" s="18"/>
      <c r="E306" s="18"/>
      <c r="F306" s="18" t="s">
        <v>24</v>
      </c>
      <c r="G306" s="18" t="s">
        <v>25</v>
      </c>
    </row>
    <row r="307" spans="1:7">
      <c r="A307" s="18" t="s">
        <v>88</v>
      </c>
      <c r="B307" s="21" t="s">
        <v>130</v>
      </c>
      <c r="C307" s="18">
        <v>1</v>
      </c>
      <c r="D307" s="19"/>
      <c r="E307" s="19"/>
      <c r="F307" s="18" t="s">
        <v>199</v>
      </c>
      <c r="G307" s="18" t="s">
        <v>200</v>
      </c>
    </row>
    <row r="308" spans="1:7">
      <c r="A308" s="18" t="s">
        <v>88</v>
      </c>
      <c r="B308" s="21" t="s">
        <v>129</v>
      </c>
      <c r="C308" s="18">
        <v>1</v>
      </c>
      <c r="D308" s="19"/>
      <c r="E308" s="19"/>
      <c r="F308" s="18" t="s">
        <v>24</v>
      </c>
      <c r="G308" s="18" t="s">
        <v>25</v>
      </c>
    </row>
    <row r="309" spans="1:7">
      <c r="A309" s="18" t="s">
        <v>88</v>
      </c>
      <c r="B309" s="21" t="s">
        <v>126</v>
      </c>
      <c r="C309" s="18">
        <v>1</v>
      </c>
      <c r="D309" s="18"/>
      <c r="E309" s="18"/>
      <c r="F309" s="18" t="s">
        <v>24</v>
      </c>
      <c r="G309" s="18" t="s">
        <v>55</v>
      </c>
    </row>
    <row r="310" spans="1:7">
      <c r="A310" s="18" t="s">
        <v>88</v>
      </c>
      <c r="B310" s="21" t="s">
        <v>125</v>
      </c>
      <c r="C310" s="18">
        <v>1</v>
      </c>
      <c r="D310" s="19"/>
      <c r="E310" s="19"/>
      <c r="F310" s="18" t="s">
        <v>24</v>
      </c>
      <c r="G310" s="18" t="s">
        <v>25</v>
      </c>
    </row>
    <row r="311" spans="1:7">
      <c r="A311" s="18" t="s">
        <v>88</v>
      </c>
      <c r="B311" s="21" t="s">
        <v>124</v>
      </c>
      <c r="C311" s="18">
        <v>1</v>
      </c>
      <c r="D311" s="18"/>
      <c r="E311" s="18"/>
      <c r="F311" s="18" t="s">
        <v>24</v>
      </c>
      <c r="G311" s="18" t="s">
        <v>55</v>
      </c>
    </row>
    <row r="312" spans="1:7">
      <c r="A312" s="18" t="s">
        <v>88</v>
      </c>
      <c r="B312" s="21" t="s">
        <v>123</v>
      </c>
      <c r="C312" s="18">
        <v>1</v>
      </c>
      <c r="D312" s="18"/>
      <c r="E312" s="18"/>
      <c r="F312" s="18" t="s">
        <v>24</v>
      </c>
      <c r="G312" s="18" t="s">
        <v>25</v>
      </c>
    </row>
    <row r="313" spans="1:7">
      <c r="A313" s="18" t="s">
        <v>88</v>
      </c>
      <c r="B313" s="21" t="s">
        <v>219</v>
      </c>
      <c r="C313" s="18">
        <v>1</v>
      </c>
      <c r="D313" s="19"/>
      <c r="E313" s="18"/>
      <c r="F313" s="18" t="s">
        <v>199</v>
      </c>
      <c r="G313" s="18" t="s">
        <v>200</v>
      </c>
    </row>
    <row r="314" spans="1:7">
      <c r="A314" s="18" t="s">
        <v>88</v>
      </c>
      <c r="B314" s="23" t="s">
        <v>122</v>
      </c>
      <c r="C314" s="22" t="s">
        <v>217</v>
      </c>
      <c r="D314" s="19">
        <v>55657</v>
      </c>
      <c r="E314" s="19" t="s">
        <v>32</v>
      </c>
      <c r="F314" s="18"/>
      <c r="G314" s="18"/>
    </row>
    <row r="315" spans="1:7">
      <c r="A315" s="18" t="s">
        <v>88</v>
      </c>
      <c r="B315" s="21" t="s">
        <v>121</v>
      </c>
      <c r="C315" s="18">
        <v>1</v>
      </c>
      <c r="D315" s="19"/>
      <c r="E315" s="19"/>
      <c r="F315" s="18" t="s">
        <v>24</v>
      </c>
      <c r="G315" s="18" t="s">
        <v>55</v>
      </c>
    </row>
    <row r="316" spans="1:7">
      <c r="A316" s="18" t="s">
        <v>88</v>
      </c>
      <c r="B316" s="21" t="s">
        <v>116</v>
      </c>
      <c r="C316" s="18">
        <v>1</v>
      </c>
      <c r="D316" s="18"/>
      <c r="E316" s="18"/>
      <c r="F316" s="18" t="s">
        <v>24</v>
      </c>
      <c r="G316" s="18" t="s">
        <v>25</v>
      </c>
    </row>
    <row r="317" spans="1:7">
      <c r="A317" s="18" t="s">
        <v>88</v>
      </c>
      <c r="B317" s="23" t="s">
        <v>113</v>
      </c>
      <c r="C317" s="22" t="s">
        <v>217</v>
      </c>
      <c r="D317" s="19">
        <v>33863</v>
      </c>
      <c r="E317" s="19" t="s">
        <v>32</v>
      </c>
      <c r="F317" s="18"/>
      <c r="G317" s="18"/>
    </row>
    <row r="318" spans="1:7">
      <c r="A318" s="18" t="s">
        <v>88</v>
      </c>
      <c r="B318" s="21" t="s">
        <v>101</v>
      </c>
      <c r="C318" s="18">
        <v>1</v>
      </c>
      <c r="D318" s="19"/>
      <c r="E318" s="19"/>
      <c r="F318" s="18" t="s">
        <v>199</v>
      </c>
      <c r="G318" s="18" t="s">
        <v>200</v>
      </c>
    </row>
    <row r="319" spans="1:7">
      <c r="A319" s="18" t="s">
        <v>88</v>
      </c>
      <c r="B319" s="21" t="s">
        <v>100</v>
      </c>
      <c r="C319" s="18">
        <v>1</v>
      </c>
      <c r="D319" s="18"/>
      <c r="E319" s="18"/>
      <c r="F319" s="18" t="s">
        <v>24</v>
      </c>
      <c r="G319" s="18" t="s">
        <v>25</v>
      </c>
    </row>
    <row r="320" spans="1:7">
      <c r="A320" s="18" t="s">
        <v>88</v>
      </c>
      <c r="B320" s="21" t="s">
        <v>99</v>
      </c>
      <c r="C320" s="18">
        <v>1</v>
      </c>
      <c r="D320" s="19"/>
      <c r="E320" s="19"/>
      <c r="F320" s="18" t="s">
        <v>24</v>
      </c>
      <c r="G320" s="18" t="s">
        <v>55</v>
      </c>
    </row>
    <row r="321" spans="1:7">
      <c r="A321" s="18" t="s">
        <v>88</v>
      </c>
      <c r="B321" s="23" t="s">
        <v>95</v>
      </c>
      <c r="C321" s="22" t="s">
        <v>217</v>
      </c>
      <c r="D321" s="19" t="s">
        <v>31</v>
      </c>
      <c r="E321" s="19" t="s">
        <v>48</v>
      </c>
      <c r="F321" s="18"/>
      <c r="G321" s="18"/>
    </row>
    <row r="322" spans="1:7">
      <c r="A322" s="18" t="s">
        <v>88</v>
      </c>
      <c r="B322" s="23" t="s">
        <v>93</v>
      </c>
      <c r="C322" s="22" t="s">
        <v>217</v>
      </c>
      <c r="D322" s="19">
        <v>39992</v>
      </c>
      <c r="E322" s="19" t="s">
        <v>48</v>
      </c>
      <c r="F322" s="18"/>
      <c r="G322" s="18"/>
    </row>
    <row r="323" spans="1:7">
      <c r="A323" s="18" t="s">
        <v>88</v>
      </c>
      <c r="B323" s="21" t="s">
        <v>85</v>
      </c>
      <c r="C323" s="18">
        <v>1</v>
      </c>
      <c r="D323" s="19"/>
      <c r="E323" s="19"/>
      <c r="F323" s="18" t="s">
        <v>24</v>
      </c>
      <c r="G323" s="18" t="s">
        <v>55</v>
      </c>
    </row>
    <row r="324" spans="1:7">
      <c r="A324" s="18" t="s">
        <v>88</v>
      </c>
      <c r="B324" s="21" t="s">
        <v>252</v>
      </c>
      <c r="C324" s="18">
        <v>1</v>
      </c>
      <c r="D324" s="18"/>
      <c r="E324" s="18"/>
      <c r="F324" s="18" t="s">
        <v>199</v>
      </c>
      <c r="G324" s="18" t="s">
        <v>200</v>
      </c>
    </row>
    <row r="325" spans="1:7">
      <c r="A325" s="18" t="s">
        <v>60</v>
      </c>
      <c r="B325" s="21" t="s">
        <v>131</v>
      </c>
      <c r="C325" s="18">
        <v>1</v>
      </c>
      <c r="D325" s="19"/>
      <c r="E325" s="19"/>
      <c r="F325" s="18" t="s">
        <v>24</v>
      </c>
      <c r="G325" s="18" t="s">
        <v>55</v>
      </c>
    </row>
    <row r="326" spans="1:7">
      <c r="A326" s="18" t="s">
        <v>60</v>
      </c>
      <c r="B326" s="21" t="s">
        <v>208</v>
      </c>
      <c r="C326" s="18">
        <v>1</v>
      </c>
      <c r="D326" s="19"/>
      <c r="E326" s="19"/>
      <c r="F326" s="18" t="s">
        <v>199</v>
      </c>
      <c r="G326" s="18" t="s">
        <v>200</v>
      </c>
    </row>
    <row r="327" spans="1:7">
      <c r="A327" s="18" t="s">
        <v>60</v>
      </c>
      <c r="B327" s="21" t="s">
        <v>125</v>
      </c>
      <c r="C327" s="18">
        <v>1</v>
      </c>
      <c r="D327" s="18"/>
      <c r="E327" s="18"/>
      <c r="F327" s="18" t="s">
        <v>199</v>
      </c>
      <c r="G327" s="18" t="s">
        <v>200</v>
      </c>
    </row>
    <row r="328" spans="1:7">
      <c r="A328" s="18" t="s">
        <v>60</v>
      </c>
      <c r="B328" s="21" t="s">
        <v>124</v>
      </c>
      <c r="C328" s="18">
        <v>1</v>
      </c>
      <c r="D328" s="19"/>
      <c r="E328" s="19"/>
      <c r="F328" s="18" t="s">
        <v>24</v>
      </c>
      <c r="G328" s="18" t="s">
        <v>25</v>
      </c>
    </row>
    <row r="329" spans="1:7">
      <c r="A329" s="18" t="s">
        <v>60</v>
      </c>
      <c r="B329" s="23" t="s">
        <v>123</v>
      </c>
      <c r="C329" s="22" t="s">
        <v>217</v>
      </c>
      <c r="D329" s="19">
        <v>77632</v>
      </c>
      <c r="E329" s="19" t="s">
        <v>48</v>
      </c>
      <c r="F329" s="18"/>
      <c r="G329" s="18"/>
    </row>
    <row r="330" spans="1:7">
      <c r="A330" s="18" t="s">
        <v>60</v>
      </c>
      <c r="B330" s="21" t="s">
        <v>122</v>
      </c>
      <c r="C330" s="18">
        <v>1</v>
      </c>
      <c r="D330" s="18"/>
      <c r="E330" s="18"/>
      <c r="F330" s="18" t="s">
        <v>199</v>
      </c>
      <c r="G330" s="18" t="s">
        <v>200</v>
      </c>
    </row>
    <row r="331" spans="1:7">
      <c r="A331" s="18" t="s">
        <v>60</v>
      </c>
      <c r="B331" s="21" t="s">
        <v>116</v>
      </c>
      <c r="C331" s="18">
        <v>1</v>
      </c>
      <c r="D331" s="19"/>
      <c r="E331" s="18"/>
      <c r="F331" s="18" t="s">
        <v>199</v>
      </c>
      <c r="G331" s="18" t="s">
        <v>200</v>
      </c>
    </row>
    <row r="332" spans="1:7">
      <c r="A332" s="18" t="s">
        <v>60</v>
      </c>
      <c r="B332" s="21" t="s">
        <v>113</v>
      </c>
      <c r="C332" s="18">
        <v>1</v>
      </c>
      <c r="D332" s="19"/>
      <c r="E332" s="19"/>
      <c r="F332" s="18" t="s">
        <v>24</v>
      </c>
      <c r="G332" s="18" t="s">
        <v>25</v>
      </c>
    </row>
    <row r="333" spans="1:7">
      <c r="A333" s="18" t="s">
        <v>60</v>
      </c>
      <c r="B333" s="21" t="s">
        <v>253</v>
      </c>
      <c r="C333" s="18">
        <v>1</v>
      </c>
      <c r="D333" s="19"/>
      <c r="E333" s="19"/>
      <c r="F333" s="18" t="s">
        <v>199</v>
      </c>
      <c r="G333" s="18" t="s">
        <v>200</v>
      </c>
    </row>
    <row r="334" spans="1:7">
      <c r="A334" s="18" t="s">
        <v>60</v>
      </c>
      <c r="B334" s="21" t="s">
        <v>108</v>
      </c>
      <c r="C334" s="18">
        <v>1</v>
      </c>
      <c r="D334" s="18"/>
      <c r="E334" s="18"/>
      <c r="F334" s="18" t="s">
        <v>199</v>
      </c>
      <c r="G334" s="18" t="s">
        <v>200</v>
      </c>
    </row>
    <row r="335" spans="1:7">
      <c r="A335" s="18" t="s">
        <v>60</v>
      </c>
      <c r="B335" s="21" t="s">
        <v>254</v>
      </c>
      <c r="C335" s="18">
        <v>1</v>
      </c>
      <c r="D335" s="19"/>
      <c r="E335" s="19"/>
      <c r="F335" s="18" t="s">
        <v>199</v>
      </c>
      <c r="G335" s="18" t="s">
        <v>200</v>
      </c>
    </row>
    <row r="336" spans="1:7">
      <c r="A336" s="18" t="s">
        <v>60</v>
      </c>
      <c r="B336" s="21" t="s">
        <v>98</v>
      </c>
      <c r="C336" s="18"/>
      <c r="D336" s="19"/>
      <c r="E336" s="19"/>
      <c r="F336" s="18"/>
      <c r="G336" s="18"/>
    </row>
    <row r="337" spans="1:7">
      <c r="A337" s="18" t="s">
        <v>60</v>
      </c>
      <c r="B337" s="21" t="s">
        <v>255</v>
      </c>
      <c r="C337" s="18">
        <v>1</v>
      </c>
      <c r="D337" s="18"/>
      <c r="E337" s="18"/>
      <c r="F337" s="18" t="s">
        <v>199</v>
      </c>
      <c r="G337" s="18" t="s">
        <v>200</v>
      </c>
    </row>
    <row r="338" spans="1:7">
      <c r="A338" s="18" t="s">
        <v>60</v>
      </c>
      <c r="B338" s="21" t="s">
        <v>94</v>
      </c>
      <c r="C338" s="18">
        <v>1</v>
      </c>
      <c r="D338" s="19"/>
      <c r="E338" s="19"/>
      <c r="F338" s="18" t="s">
        <v>24</v>
      </c>
      <c r="G338" s="18" t="s">
        <v>55</v>
      </c>
    </row>
    <row r="339" spans="1:7">
      <c r="A339" s="18" t="s">
        <v>60</v>
      </c>
      <c r="B339" s="23" t="s">
        <v>92</v>
      </c>
      <c r="C339" s="22" t="s">
        <v>217</v>
      </c>
      <c r="D339" s="19">
        <v>22955</v>
      </c>
      <c r="E339" s="19" t="s">
        <v>32</v>
      </c>
      <c r="F339" s="18"/>
      <c r="G339" s="18"/>
    </row>
    <row r="340" spans="1:7">
      <c r="A340" s="18" t="s">
        <v>60</v>
      </c>
      <c r="B340" s="21" t="s">
        <v>211</v>
      </c>
      <c r="C340" s="18">
        <v>1</v>
      </c>
      <c r="D340" s="19"/>
      <c r="E340" s="19"/>
      <c r="F340" s="18" t="s">
        <v>199</v>
      </c>
      <c r="G340" s="18" t="s">
        <v>200</v>
      </c>
    </row>
    <row r="341" spans="1:7">
      <c r="A341" s="18" t="s">
        <v>60</v>
      </c>
      <c r="B341" s="21" t="s">
        <v>252</v>
      </c>
      <c r="C341" s="18">
        <v>1</v>
      </c>
      <c r="D341" s="19"/>
      <c r="E341" s="19"/>
      <c r="F341" s="18" t="s">
        <v>199</v>
      </c>
      <c r="G341" s="18" t="s">
        <v>200</v>
      </c>
    </row>
    <row r="342" spans="1:7">
      <c r="A342" s="18" t="s">
        <v>60</v>
      </c>
      <c r="B342" s="21" t="s">
        <v>63</v>
      </c>
      <c r="C342" s="18">
        <v>1</v>
      </c>
      <c r="D342" s="18"/>
      <c r="E342" s="18"/>
      <c r="F342" s="18" t="s">
        <v>24</v>
      </c>
      <c r="G342" s="18" t="s">
        <v>25</v>
      </c>
    </row>
    <row r="343" spans="1:7">
      <c r="A343" s="18" t="s">
        <v>34</v>
      </c>
      <c r="B343" s="21" t="s">
        <v>124</v>
      </c>
      <c r="C343" s="18">
        <v>1</v>
      </c>
      <c r="D343" s="19"/>
      <c r="E343" s="19"/>
      <c r="F343" s="18" t="s">
        <v>24</v>
      </c>
      <c r="G343" s="18" t="s">
        <v>55</v>
      </c>
    </row>
    <row r="344" spans="1:7">
      <c r="A344" s="18" t="s">
        <v>34</v>
      </c>
      <c r="B344" s="21" t="s">
        <v>123</v>
      </c>
      <c r="C344" s="18">
        <v>1</v>
      </c>
      <c r="D344" s="19"/>
      <c r="E344" s="19"/>
      <c r="F344" s="18" t="s">
        <v>24</v>
      </c>
      <c r="G344" s="18" t="s">
        <v>55</v>
      </c>
    </row>
    <row r="345" spans="1:7">
      <c r="A345" s="18" t="s">
        <v>34</v>
      </c>
      <c r="B345" s="21" t="s">
        <v>117</v>
      </c>
      <c r="C345" s="18">
        <v>1</v>
      </c>
      <c r="D345" s="18"/>
      <c r="E345" s="18"/>
      <c r="F345" s="18" t="s">
        <v>199</v>
      </c>
      <c r="G345" s="18" t="s">
        <v>200</v>
      </c>
    </row>
    <row r="346" spans="1:7">
      <c r="A346" s="18" t="s">
        <v>34</v>
      </c>
      <c r="B346" s="21" t="s">
        <v>116</v>
      </c>
      <c r="C346" s="18">
        <v>1</v>
      </c>
      <c r="D346" s="19"/>
      <c r="E346" s="19"/>
      <c r="F346" s="18" t="s">
        <v>24</v>
      </c>
      <c r="G346" s="18" t="s">
        <v>25</v>
      </c>
    </row>
    <row r="347" spans="1:7">
      <c r="A347" s="18" t="s">
        <v>34</v>
      </c>
      <c r="B347" s="21" t="s">
        <v>113</v>
      </c>
      <c r="C347" s="18">
        <v>1</v>
      </c>
      <c r="D347" s="19"/>
      <c r="E347" s="19"/>
      <c r="F347" s="18" t="s">
        <v>24</v>
      </c>
      <c r="G347" s="18" t="s">
        <v>25</v>
      </c>
    </row>
    <row r="348" spans="1:7">
      <c r="A348" s="18" t="s">
        <v>34</v>
      </c>
      <c r="B348" s="21" t="s">
        <v>109</v>
      </c>
      <c r="C348" s="18">
        <v>1</v>
      </c>
      <c r="D348" s="18"/>
      <c r="E348" s="18"/>
      <c r="F348" s="18" t="s">
        <v>24</v>
      </c>
      <c r="G348" s="18" t="s">
        <v>55</v>
      </c>
    </row>
    <row r="349" spans="1:7">
      <c r="A349" s="18" t="s">
        <v>34</v>
      </c>
      <c r="B349" s="21" t="s">
        <v>232</v>
      </c>
      <c r="C349" s="18">
        <v>1</v>
      </c>
      <c r="D349" s="19"/>
      <c r="E349" s="18"/>
      <c r="F349" s="18" t="s">
        <v>199</v>
      </c>
      <c r="G349" s="18" t="s">
        <v>200</v>
      </c>
    </row>
    <row r="350" spans="1:7">
      <c r="A350" s="18" t="s">
        <v>34</v>
      </c>
      <c r="B350" s="21" t="s">
        <v>108</v>
      </c>
      <c r="C350" s="18">
        <v>1</v>
      </c>
      <c r="D350" s="19"/>
      <c r="E350" s="19"/>
      <c r="F350" s="18" t="s">
        <v>199</v>
      </c>
      <c r="G350" s="18" t="s">
        <v>200</v>
      </c>
    </row>
    <row r="351" spans="1:7">
      <c r="A351" s="18" t="s">
        <v>34</v>
      </c>
      <c r="B351" s="21" t="s">
        <v>99</v>
      </c>
      <c r="C351" s="18">
        <v>1</v>
      </c>
      <c r="D351" s="19"/>
      <c r="E351" s="19"/>
      <c r="F351" s="18" t="s">
        <v>199</v>
      </c>
      <c r="G351" s="18" t="s">
        <v>200</v>
      </c>
    </row>
    <row r="352" spans="1:7">
      <c r="A352" s="18" t="s">
        <v>34</v>
      </c>
      <c r="B352" s="23" t="s">
        <v>98</v>
      </c>
      <c r="C352" s="22" t="s">
        <v>217</v>
      </c>
      <c r="D352" s="18" t="s">
        <v>31</v>
      </c>
      <c r="E352" s="18" t="s">
        <v>32</v>
      </c>
      <c r="F352" s="18"/>
      <c r="G352" s="18"/>
    </row>
    <row r="353" spans="1:7">
      <c r="A353" s="18" t="s">
        <v>34</v>
      </c>
      <c r="B353" s="21" t="s">
        <v>94</v>
      </c>
      <c r="C353" s="18">
        <v>1</v>
      </c>
      <c r="D353" s="19"/>
      <c r="E353" s="19"/>
      <c r="F353" s="18" t="s">
        <v>199</v>
      </c>
      <c r="G353" s="18" t="s">
        <v>200</v>
      </c>
    </row>
    <row r="354" spans="1:7">
      <c r="A354" s="18" t="s">
        <v>34</v>
      </c>
      <c r="B354" s="18" t="s">
        <v>38</v>
      </c>
      <c r="C354" s="18">
        <v>1</v>
      </c>
      <c r="D354" s="19"/>
      <c r="E354" s="19"/>
      <c r="F354" s="18" t="s">
        <v>24</v>
      </c>
      <c r="G354" s="18" t="s">
        <v>25</v>
      </c>
    </row>
    <row r="355" spans="1:7">
      <c r="A355" s="18" t="s">
        <v>34</v>
      </c>
      <c r="B355" s="21" t="s">
        <v>252</v>
      </c>
      <c r="C355" s="18">
        <v>1</v>
      </c>
      <c r="D355" s="18"/>
      <c r="E355" s="18"/>
      <c r="F355" s="18" t="s">
        <v>199</v>
      </c>
      <c r="G355" s="18" t="s">
        <v>200</v>
      </c>
    </row>
    <row r="356" spans="1:7">
      <c r="A356" s="18" t="s">
        <v>34</v>
      </c>
      <c r="B356" s="21" t="s">
        <v>47</v>
      </c>
      <c r="C356" s="18">
        <v>1</v>
      </c>
      <c r="D356" s="19"/>
      <c r="E356" s="19"/>
      <c r="F356" s="18" t="s">
        <v>24</v>
      </c>
      <c r="G356" s="18" t="s">
        <v>55</v>
      </c>
    </row>
    <row r="357" spans="1:7">
      <c r="A357" s="18" t="s">
        <v>41</v>
      </c>
      <c r="B357" s="18" t="s">
        <v>229</v>
      </c>
      <c r="C357" s="18">
        <v>1</v>
      </c>
      <c r="D357" s="19"/>
      <c r="E357" s="19"/>
      <c r="F357" s="18" t="s">
        <v>199</v>
      </c>
      <c r="G357" s="18" t="s">
        <v>200</v>
      </c>
    </row>
    <row r="358" spans="1:7">
      <c r="A358" s="18" t="s">
        <v>41</v>
      </c>
      <c r="B358" s="18" t="s">
        <v>125</v>
      </c>
      <c r="C358" s="18">
        <v>1</v>
      </c>
      <c r="D358" s="19"/>
      <c r="E358" s="19"/>
      <c r="F358" s="18" t="s">
        <v>199</v>
      </c>
      <c r="G358" s="18" t="s">
        <v>200</v>
      </c>
    </row>
    <row r="359" spans="1:7">
      <c r="A359" s="18" t="s">
        <v>41</v>
      </c>
      <c r="B359" s="18" t="s">
        <v>124</v>
      </c>
      <c r="C359" s="18">
        <v>1</v>
      </c>
      <c r="D359" s="18"/>
      <c r="E359" s="18"/>
      <c r="F359" s="18" t="s">
        <v>24</v>
      </c>
      <c r="G359" s="18" t="s">
        <v>55</v>
      </c>
    </row>
    <row r="360" spans="1:7">
      <c r="A360" s="18" t="s">
        <v>41</v>
      </c>
      <c r="B360" s="18" t="s">
        <v>123</v>
      </c>
      <c r="C360" s="18">
        <v>1</v>
      </c>
      <c r="D360" s="19"/>
      <c r="E360" s="19"/>
      <c r="F360" s="18" t="s">
        <v>24</v>
      </c>
      <c r="G360" s="18" t="s">
        <v>25</v>
      </c>
    </row>
    <row r="361" spans="1:7">
      <c r="A361" s="18" t="s">
        <v>41</v>
      </c>
      <c r="B361" s="18" t="s">
        <v>122</v>
      </c>
      <c r="C361" s="18">
        <v>1</v>
      </c>
      <c r="D361" s="19"/>
      <c r="E361" s="19"/>
      <c r="F361" s="18" t="s">
        <v>24</v>
      </c>
      <c r="G361" s="18" t="s">
        <v>55</v>
      </c>
    </row>
    <row r="362" spans="1:7">
      <c r="A362" s="18" t="s">
        <v>41</v>
      </c>
      <c r="B362" s="18" t="s">
        <v>121</v>
      </c>
      <c r="C362" s="18">
        <v>1</v>
      </c>
      <c r="D362" s="18"/>
      <c r="E362" s="18"/>
      <c r="F362" s="18" t="s">
        <v>24</v>
      </c>
      <c r="G362" s="18" t="s">
        <v>25</v>
      </c>
    </row>
    <row r="363" spans="1:7">
      <c r="A363" s="18" t="s">
        <v>41</v>
      </c>
      <c r="B363" s="18" t="s">
        <v>117</v>
      </c>
      <c r="C363" s="18">
        <v>1</v>
      </c>
      <c r="D363" s="19"/>
      <c r="E363" s="18"/>
      <c r="F363" s="18" t="s">
        <v>24</v>
      </c>
      <c r="G363" s="18" t="s">
        <v>25</v>
      </c>
    </row>
    <row r="364" spans="1:7">
      <c r="A364" s="18" t="s">
        <v>41</v>
      </c>
      <c r="B364" s="18" t="s">
        <v>116</v>
      </c>
      <c r="C364" s="18">
        <v>1</v>
      </c>
      <c r="D364" s="19"/>
      <c r="E364" s="19"/>
      <c r="F364" s="18" t="s">
        <v>24</v>
      </c>
      <c r="G364" s="18" t="s">
        <v>25</v>
      </c>
    </row>
    <row r="365" spans="1:7">
      <c r="A365" s="18" t="s">
        <v>41</v>
      </c>
      <c r="B365" s="18" t="s">
        <v>113</v>
      </c>
      <c r="C365" s="18">
        <v>1</v>
      </c>
      <c r="D365" s="19"/>
      <c r="E365" s="19"/>
      <c r="F365" s="18" t="s">
        <v>24</v>
      </c>
      <c r="G365" s="18" t="s">
        <v>55</v>
      </c>
    </row>
    <row r="366" spans="1:7">
      <c r="A366" s="18" t="s">
        <v>41</v>
      </c>
      <c r="B366" s="18" t="s">
        <v>101</v>
      </c>
      <c r="C366" s="18">
        <v>1</v>
      </c>
      <c r="D366" s="18"/>
      <c r="E366" s="18"/>
      <c r="F366" s="18" t="s">
        <v>199</v>
      </c>
      <c r="G366" s="18" t="s">
        <v>200</v>
      </c>
    </row>
    <row r="367" spans="1:7">
      <c r="A367" s="18" t="s">
        <v>41</v>
      </c>
      <c r="B367" s="18" t="s">
        <v>100</v>
      </c>
      <c r="C367" s="18">
        <v>1</v>
      </c>
      <c r="D367" s="19"/>
      <c r="E367" s="19"/>
      <c r="F367" s="18" t="s">
        <v>199</v>
      </c>
      <c r="G367" s="18" t="s">
        <v>200</v>
      </c>
    </row>
    <row r="368" spans="1:7">
      <c r="A368" s="18" t="s">
        <v>41</v>
      </c>
      <c r="B368" s="18" t="s">
        <v>95</v>
      </c>
      <c r="C368" s="18">
        <v>1</v>
      </c>
      <c r="D368" s="19"/>
      <c r="E368" s="19"/>
      <c r="F368" s="18" t="s">
        <v>199</v>
      </c>
      <c r="G368" s="18" t="s">
        <v>200</v>
      </c>
    </row>
    <row r="369" spans="1:7">
      <c r="A369" s="18" t="s">
        <v>41</v>
      </c>
      <c r="B369" s="18" t="s">
        <v>85</v>
      </c>
      <c r="C369" s="18">
        <v>1</v>
      </c>
      <c r="D369" s="18"/>
      <c r="E369" s="18"/>
      <c r="F369" s="18" t="s">
        <v>199</v>
      </c>
      <c r="G369" s="18" t="s">
        <v>200</v>
      </c>
    </row>
    <row r="370" spans="1:7">
      <c r="A370" s="18" t="s">
        <v>41</v>
      </c>
      <c r="B370" s="18" t="s">
        <v>80</v>
      </c>
      <c r="C370" s="18">
        <v>1</v>
      </c>
      <c r="D370" s="19"/>
      <c r="E370" s="19"/>
      <c r="F370" s="18" t="s">
        <v>24</v>
      </c>
      <c r="G370" s="18" t="s">
        <v>55</v>
      </c>
    </row>
    <row r="371" spans="1:7">
      <c r="A371" s="18" t="s">
        <v>41</v>
      </c>
      <c r="B371" s="18" t="s">
        <v>47</v>
      </c>
      <c r="C371" s="18">
        <v>1</v>
      </c>
      <c r="D371" s="18"/>
      <c r="E371" s="18"/>
      <c r="F371" s="18" t="s">
        <v>199</v>
      </c>
      <c r="G371" s="18" t="s">
        <v>55</v>
      </c>
    </row>
    <row r="372" spans="1:7">
      <c r="A372" s="18" t="s">
        <v>41</v>
      </c>
      <c r="B372" s="18" t="s">
        <v>38</v>
      </c>
      <c r="C372" s="18">
        <v>1</v>
      </c>
      <c r="D372" s="18"/>
      <c r="E372" s="18"/>
      <c r="F372" s="18" t="s">
        <v>24</v>
      </c>
      <c r="G372" s="18" t="s">
        <v>25</v>
      </c>
    </row>
  </sheetData>
  <autoFilter xmlns:etc="http://www.wps.cn/officeDocument/2017/etCustomData" ref="A1:G372" etc:filterBottomFollowUsedRange="0">
    <extLst/>
  </autoFilter>
  <mergeCells count="1">
    <mergeCell ref="A1:G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1"/>
  <sheetViews>
    <sheetView zoomScale="70" zoomScaleNormal="70" workbookViewId="0">
      <selection activeCell="H37" sqref="H37"/>
    </sheetView>
  </sheetViews>
  <sheetFormatPr defaultColWidth="8.61261261261261" defaultRowHeight="14.1"/>
  <cols>
    <col min="1" max="3" width="20.7117117117117" customWidth="1"/>
    <col min="4" max="4" width="9.46846846846847" customWidth="1"/>
    <col min="5" max="6" width="36.6306306306306" customWidth="1"/>
    <col min="7" max="7" width="11.7027027027027" customWidth="1"/>
    <col min="8" max="9" width="13.9369369369369" customWidth="1"/>
    <col min="10" max="10" width="20.7117117117117" customWidth="1"/>
    <col min="11" max="11" width="21.8648648648649" customWidth="1"/>
    <col min="12" max="12" width="20.7297297297297" customWidth="1"/>
    <col min="13" max="13" width="36.3423423423423" customWidth="1"/>
  </cols>
  <sheetData>
    <row r="1" spans="1:13">
      <c r="A1" s="16" t="s">
        <v>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>
      <c r="A2" s="17" t="s">
        <v>6</v>
      </c>
      <c r="B2" s="17" t="s">
        <v>7</v>
      </c>
      <c r="C2" s="17" t="s">
        <v>256</v>
      </c>
      <c r="D2" s="17" t="s">
        <v>132</v>
      </c>
      <c r="E2" s="17" t="s">
        <v>10</v>
      </c>
      <c r="F2" s="17" t="s">
        <v>11</v>
      </c>
      <c r="G2" s="17" t="s">
        <v>12</v>
      </c>
      <c r="H2" s="17" t="s">
        <v>13</v>
      </c>
      <c r="I2" s="17" t="s">
        <v>14</v>
      </c>
      <c r="J2" s="17" t="s">
        <v>15</v>
      </c>
      <c r="K2" s="17" t="s">
        <v>16</v>
      </c>
      <c r="L2" s="8" t="s">
        <v>17</v>
      </c>
      <c r="M2" s="8" t="s">
        <v>18</v>
      </c>
    </row>
    <row r="3" spans="1:13">
      <c r="A3" s="18" t="s">
        <v>56</v>
      </c>
      <c r="B3" s="18" t="s">
        <v>257</v>
      </c>
      <c r="C3" s="18" t="s">
        <v>258</v>
      </c>
      <c r="D3" s="18">
        <v>1.1</v>
      </c>
      <c r="E3" s="18" t="s">
        <v>121</v>
      </c>
      <c r="F3" s="18">
        <v>63</v>
      </c>
      <c r="G3" s="18">
        <v>1</v>
      </c>
      <c r="H3" s="18" t="s">
        <v>197</v>
      </c>
      <c r="I3" s="18"/>
      <c r="J3" s="18" t="s">
        <v>24</v>
      </c>
      <c r="K3" s="18" t="s">
        <v>55</v>
      </c>
      <c r="L3" s="8" t="s">
        <v>119</v>
      </c>
      <c r="M3" s="8" t="s">
        <v>120</v>
      </c>
    </row>
    <row r="4" spans="1:13">
      <c r="A4" s="18" t="s">
        <v>56</v>
      </c>
      <c r="B4" s="18" t="s">
        <v>257</v>
      </c>
      <c r="C4" s="18" t="s">
        <v>258</v>
      </c>
      <c r="D4" s="18">
        <v>1.1</v>
      </c>
      <c r="E4" s="18" t="s">
        <v>125</v>
      </c>
      <c r="F4" s="18">
        <v>72</v>
      </c>
      <c r="G4" s="18">
        <v>1</v>
      </c>
      <c r="H4" s="18" t="s">
        <v>197</v>
      </c>
      <c r="I4" s="18"/>
      <c r="J4" s="18" t="s">
        <v>24</v>
      </c>
      <c r="K4" s="18" t="s">
        <v>55</v>
      </c>
      <c r="L4" s="8" t="s">
        <v>96</v>
      </c>
      <c r="M4" s="8" t="s">
        <v>97</v>
      </c>
    </row>
    <row r="5" spans="1:13">
      <c r="A5" s="18" t="s">
        <v>56</v>
      </c>
      <c r="B5" s="18" t="s">
        <v>257</v>
      </c>
      <c r="C5" s="18" t="s">
        <v>258</v>
      </c>
      <c r="D5" s="18">
        <v>1.1</v>
      </c>
      <c r="E5" s="18" t="s">
        <v>100</v>
      </c>
      <c r="F5" s="18">
        <v>36</v>
      </c>
      <c r="G5" s="18">
        <v>1</v>
      </c>
      <c r="H5" s="18" t="s">
        <v>197</v>
      </c>
      <c r="I5" s="18"/>
      <c r="J5" s="18" t="s">
        <v>24</v>
      </c>
      <c r="K5" s="18" t="s">
        <v>25</v>
      </c>
      <c r="L5" s="8" t="s">
        <v>26</v>
      </c>
      <c r="M5" s="8" t="s">
        <v>27</v>
      </c>
    </row>
    <row r="6" spans="1:13">
      <c r="A6" s="18" t="s">
        <v>56</v>
      </c>
      <c r="B6" s="18" t="s">
        <v>257</v>
      </c>
      <c r="C6" s="18" t="s">
        <v>258</v>
      </c>
      <c r="D6" s="18">
        <v>1.1</v>
      </c>
      <c r="E6" s="18" t="s">
        <v>108</v>
      </c>
      <c r="F6" s="18">
        <v>46</v>
      </c>
      <c r="G6" s="18">
        <v>1</v>
      </c>
      <c r="H6" s="18" t="s">
        <v>197</v>
      </c>
      <c r="I6" s="18"/>
      <c r="J6" s="18" t="s">
        <v>24</v>
      </c>
      <c r="K6" s="18" t="s">
        <v>55</v>
      </c>
      <c r="L6" s="8" t="s">
        <v>81</v>
      </c>
      <c r="M6" s="8" t="s">
        <v>82</v>
      </c>
    </row>
    <row r="7" spans="1:13">
      <c r="A7" s="18" t="s">
        <v>56</v>
      </c>
      <c r="B7" s="18" t="s">
        <v>257</v>
      </c>
      <c r="C7" s="18" t="s">
        <v>258</v>
      </c>
      <c r="D7" s="18">
        <v>1.1</v>
      </c>
      <c r="E7" s="18" t="s">
        <v>126</v>
      </c>
      <c r="F7" s="18">
        <v>77</v>
      </c>
      <c r="G7" s="18">
        <v>1</v>
      </c>
      <c r="H7" s="18" t="s">
        <v>197</v>
      </c>
      <c r="I7" s="18"/>
      <c r="J7" s="18" t="s">
        <v>24</v>
      </c>
      <c r="K7" s="18" t="s">
        <v>25</v>
      </c>
      <c r="L7" s="8" t="s">
        <v>96</v>
      </c>
      <c r="M7" s="8" t="s">
        <v>97</v>
      </c>
    </row>
    <row r="8" spans="1:13">
      <c r="A8" s="18" t="s">
        <v>56</v>
      </c>
      <c r="B8" s="18" t="s">
        <v>257</v>
      </c>
      <c r="C8" s="18" t="s">
        <v>258</v>
      </c>
      <c r="D8" s="18">
        <v>1.1</v>
      </c>
      <c r="E8" s="18" t="s">
        <v>128</v>
      </c>
      <c r="F8" s="18">
        <v>81</v>
      </c>
      <c r="G8" s="18">
        <v>1</v>
      </c>
      <c r="H8" s="18" t="s">
        <v>197</v>
      </c>
      <c r="I8" s="18"/>
      <c r="J8" s="18" t="s">
        <v>24</v>
      </c>
      <c r="K8" s="18" t="s">
        <v>25</v>
      </c>
      <c r="L8" s="8" t="s">
        <v>73</v>
      </c>
      <c r="M8" s="8" t="s">
        <v>74</v>
      </c>
    </row>
    <row r="9" spans="1:13">
      <c r="A9" s="18" t="s">
        <v>56</v>
      </c>
      <c r="B9" s="18" t="s">
        <v>257</v>
      </c>
      <c r="C9" s="18" t="s">
        <v>258</v>
      </c>
      <c r="D9" s="18">
        <v>1.1</v>
      </c>
      <c r="E9" s="18" t="s">
        <v>198</v>
      </c>
      <c r="F9" s="18">
        <v>19</v>
      </c>
      <c r="G9" s="18">
        <v>1</v>
      </c>
      <c r="H9" s="18" t="s">
        <v>197</v>
      </c>
      <c r="I9" s="18"/>
      <c r="J9" s="18" t="s">
        <v>199</v>
      </c>
      <c r="K9" s="18" t="s">
        <v>200</v>
      </c>
      <c r="L9" s="8" t="s">
        <v>86</v>
      </c>
      <c r="M9" s="8" t="s">
        <v>87</v>
      </c>
    </row>
    <row r="10" spans="1:13">
      <c r="A10" s="18" t="s">
        <v>56</v>
      </c>
      <c r="B10" s="18" t="s">
        <v>257</v>
      </c>
      <c r="C10" s="18" t="s">
        <v>258</v>
      </c>
      <c r="D10" s="18">
        <v>1.1</v>
      </c>
      <c r="E10" s="18" t="s">
        <v>93</v>
      </c>
      <c r="F10" s="18">
        <v>27</v>
      </c>
      <c r="G10" s="18">
        <v>1</v>
      </c>
      <c r="H10" s="18" t="s">
        <v>197</v>
      </c>
      <c r="I10" s="18"/>
      <c r="J10" s="18" t="s">
        <v>24</v>
      </c>
      <c r="K10" s="18" t="s">
        <v>25</v>
      </c>
      <c r="L10" s="8" t="s">
        <v>39</v>
      </c>
      <c r="M10" s="8" t="s">
        <v>40</v>
      </c>
    </row>
    <row r="11" spans="1:13">
      <c r="A11" s="18" t="s">
        <v>56</v>
      </c>
      <c r="B11" s="18" t="s">
        <v>257</v>
      </c>
      <c r="C11" s="18" t="s">
        <v>258</v>
      </c>
      <c r="D11" s="18">
        <v>1.1</v>
      </c>
      <c r="E11" s="18" t="s">
        <v>201</v>
      </c>
      <c r="F11" s="18">
        <v>10</v>
      </c>
      <c r="G11" s="18">
        <v>2</v>
      </c>
      <c r="H11" s="18" t="s">
        <v>59</v>
      </c>
      <c r="I11" s="18" t="s">
        <v>202</v>
      </c>
      <c r="J11" s="18" t="s">
        <v>199</v>
      </c>
      <c r="K11" s="18" t="s">
        <v>203</v>
      </c>
      <c r="L11" s="8" t="s">
        <v>49</v>
      </c>
      <c r="M11" s="8" t="s">
        <v>50</v>
      </c>
    </row>
    <row r="12" spans="1:13">
      <c r="A12" s="18" t="s">
        <v>56</v>
      </c>
      <c r="B12" s="18" t="s">
        <v>257</v>
      </c>
      <c r="C12" s="18" t="s">
        <v>258</v>
      </c>
      <c r="D12" s="18">
        <v>1.1</v>
      </c>
      <c r="E12" s="18" t="s">
        <v>85</v>
      </c>
      <c r="F12" s="18">
        <v>22</v>
      </c>
      <c r="G12" s="18">
        <v>2</v>
      </c>
      <c r="H12" s="18">
        <v>40031</v>
      </c>
      <c r="I12" s="18" t="s">
        <v>32</v>
      </c>
      <c r="J12" s="18" t="s">
        <v>199</v>
      </c>
      <c r="K12" s="18" t="s">
        <v>203</v>
      </c>
      <c r="L12" s="8" t="s">
        <v>86</v>
      </c>
      <c r="M12" s="8" t="s">
        <v>87</v>
      </c>
    </row>
    <row r="13" spans="1:13">
      <c r="A13" s="18" t="s">
        <v>56</v>
      </c>
      <c r="B13" s="18" t="s">
        <v>257</v>
      </c>
      <c r="C13" s="18" t="s">
        <v>258</v>
      </c>
      <c r="D13" s="18">
        <v>1.1</v>
      </c>
      <c r="E13" s="18" t="s">
        <v>104</v>
      </c>
      <c r="F13" s="18">
        <v>39</v>
      </c>
      <c r="G13" s="18">
        <v>1</v>
      </c>
      <c r="H13" s="18" t="s">
        <v>197</v>
      </c>
      <c r="I13" s="18" t="s">
        <v>197</v>
      </c>
      <c r="J13" s="18" t="s">
        <v>24</v>
      </c>
      <c r="K13" s="18" t="s">
        <v>55</v>
      </c>
      <c r="L13" s="8" t="s">
        <v>73</v>
      </c>
      <c r="M13" s="8" t="s">
        <v>74</v>
      </c>
    </row>
    <row r="14" spans="1:13">
      <c r="A14" s="18" t="s">
        <v>56</v>
      </c>
      <c r="B14" s="18" t="s">
        <v>257</v>
      </c>
      <c r="C14" s="18" t="s">
        <v>258</v>
      </c>
      <c r="D14" s="18">
        <v>1.1</v>
      </c>
      <c r="E14" s="18" t="s">
        <v>204</v>
      </c>
      <c r="F14" s="18">
        <v>60</v>
      </c>
      <c r="G14" s="18">
        <v>2</v>
      </c>
      <c r="H14" s="18">
        <v>58919</v>
      </c>
      <c r="I14" s="18" t="s">
        <v>32</v>
      </c>
      <c r="J14" s="18" t="s">
        <v>199</v>
      </c>
      <c r="K14" s="18" t="s">
        <v>203</v>
      </c>
      <c r="L14" s="8" t="s">
        <v>259</v>
      </c>
      <c r="M14" s="8" t="s">
        <v>260</v>
      </c>
    </row>
    <row r="15" spans="1:13">
      <c r="A15" s="18" t="s">
        <v>56</v>
      </c>
      <c r="B15" s="18" t="s">
        <v>257</v>
      </c>
      <c r="C15" s="18" t="s">
        <v>258</v>
      </c>
      <c r="D15" s="18">
        <v>1.1</v>
      </c>
      <c r="E15" s="18" t="s">
        <v>122</v>
      </c>
      <c r="F15" s="18">
        <v>64</v>
      </c>
      <c r="G15" s="18">
        <v>1</v>
      </c>
      <c r="H15" s="18" t="s">
        <v>197</v>
      </c>
      <c r="I15" s="18"/>
      <c r="J15" s="18" t="s">
        <v>24</v>
      </c>
      <c r="K15" s="18" t="s">
        <v>55</v>
      </c>
      <c r="L15" s="8" t="s">
        <v>119</v>
      </c>
      <c r="M15" s="8" t="s">
        <v>120</v>
      </c>
    </row>
    <row r="16" spans="1:13">
      <c r="A16" s="18" t="s">
        <v>56</v>
      </c>
      <c r="B16" s="18" t="s">
        <v>257</v>
      </c>
      <c r="C16" s="18" t="s">
        <v>258</v>
      </c>
      <c r="D16" s="18">
        <v>1.1</v>
      </c>
      <c r="E16" s="18" t="s">
        <v>123</v>
      </c>
      <c r="F16" s="18">
        <v>68</v>
      </c>
      <c r="G16" s="18">
        <v>1</v>
      </c>
      <c r="H16" s="18" t="s">
        <v>197</v>
      </c>
      <c r="I16" s="18"/>
      <c r="J16" s="18" t="s">
        <v>24</v>
      </c>
      <c r="K16" s="18" t="s">
        <v>55</v>
      </c>
      <c r="L16" s="8" t="s">
        <v>110</v>
      </c>
      <c r="M16" s="8" t="s">
        <v>111</v>
      </c>
    </row>
    <row r="17" spans="1:13">
      <c r="A17" s="18" t="s">
        <v>56</v>
      </c>
      <c r="B17" s="18" t="s">
        <v>257</v>
      </c>
      <c r="C17" s="18" t="s">
        <v>258</v>
      </c>
      <c r="D17" s="18">
        <v>1.1</v>
      </c>
      <c r="E17" s="18" t="s">
        <v>124</v>
      </c>
      <c r="F17" s="18">
        <v>69</v>
      </c>
      <c r="G17" s="18">
        <v>2</v>
      </c>
      <c r="H17" s="18" t="s">
        <v>59</v>
      </c>
      <c r="I17" s="18" t="s">
        <v>32</v>
      </c>
      <c r="J17" s="18" t="s">
        <v>199</v>
      </c>
      <c r="K17" s="18" t="s">
        <v>203</v>
      </c>
      <c r="L17" s="8" t="s">
        <v>102</v>
      </c>
      <c r="M17" s="8" t="s">
        <v>103</v>
      </c>
    </row>
    <row r="18" spans="1:13">
      <c r="A18" s="18" t="s">
        <v>56</v>
      </c>
      <c r="B18" s="18" t="s">
        <v>257</v>
      </c>
      <c r="C18" s="18" t="s">
        <v>258</v>
      </c>
      <c r="D18" s="18">
        <v>1.1</v>
      </c>
      <c r="E18" s="18" t="s">
        <v>130</v>
      </c>
      <c r="F18" s="18">
        <v>88</v>
      </c>
      <c r="G18" s="18">
        <v>1</v>
      </c>
      <c r="H18" s="18" t="s">
        <v>197</v>
      </c>
      <c r="I18" s="18"/>
      <c r="J18" s="18" t="s">
        <v>24</v>
      </c>
      <c r="K18" s="18" t="s">
        <v>55</v>
      </c>
      <c r="L18" s="8" t="s">
        <v>49</v>
      </c>
      <c r="M18" s="8" t="s">
        <v>50</v>
      </c>
    </row>
    <row r="19" spans="1:13">
      <c r="A19" s="18" t="s">
        <v>56</v>
      </c>
      <c r="B19" s="18" t="s">
        <v>257</v>
      </c>
      <c r="C19" s="18" t="s">
        <v>258</v>
      </c>
      <c r="D19" s="18">
        <v>1.1</v>
      </c>
      <c r="E19" s="18" t="s">
        <v>58</v>
      </c>
      <c r="F19" s="18">
        <v>9</v>
      </c>
      <c r="G19" s="18">
        <v>2</v>
      </c>
      <c r="H19" s="18" t="s">
        <v>59</v>
      </c>
      <c r="I19" s="18" t="s">
        <v>32</v>
      </c>
      <c r="J19" s="18" t="s">
        <v>24</v>
      </c>
      <c r="K19" s="18" t="s">
        <v>205</v>
      </c>
      <c r="L19" s="8" t="s">
        <v>49</v>
      </c>
      <c r="M19" s="8" t="s">
        <v>50</v>
      </c>
    </row>
    <row r="20" spans="1:13">
      <c r="A20" s="18" t="s">
        <v>56</v>
      </c>
      <c r="B20" s="18" t="s">
        <v>257</v>
      </c>
      <c r="C20" s="18" t="s">
        <v>258</v>
      </c>
      <c r="D20" s="18">
        <v>1.1</v>
      </c>
      <c r="E20" s="18" t="s">
        <v>80</v>
      </c>
      <c r="F20" s="18">
        <v>20</v>
      </c>
      <c r="G20" s="18">
        <v>2</v>
      </c>
      <c r="H20" s="18">
        <v>96244</v>
      </c>
      <c r="I20" s="18" t="s">
        <v>48</v>
      </c>
      <c r="J20" s="18" t="s">
        <v>199</v>
      </c>
      <c r="K20" s="18" t="s">
        <v>203</v>
      </c>
      <c r="L20" s="8" t="s">
        <v>81</v>
      </c>
      <c r="M20" s="8" t="s">
        <v>82</v>
      </c>
    </row>
    <row r="21" spans="1:13">
      <c r="A21" s="18" t="s">
        <v>56</v>
      </c>
      <c r="B21" s="18" t="s">
        <v>257</v>
      </c>
      <c r="C21" s="18" t="s">
        <v>258</v>
      </c>
      <c r="D21" s="18">
        <v>1.1</v>
      </c>
      <c r="E21" s="18" t="s">
        <v>206</v>
      </c>
      <c r="F21" s="18">
        <v>70</v>
      </c>
      <c r="G21" s="18">
        <v>1</v>
      </c>
      <c r="H21" s="18"/>
      <c r="I21" s="18"/>
      <c r="J21" s="18" t="s">
        <v>199</v>
      </c>
      <c r="K21" s="18" t="s">
        <v>200</v>
      </c>
      <c r="L21" s="8" t="s">
        <v>26</v>
      </c>
      <c r="M21" s="8" t="s">
        <v>27</v>
      </c>
    </row>
    <row r="22" spans="1:13">
      <c r="A22" s="18" t="s">
        <v>56</v>
      </c>
      <c r="B22" s="18" t="s">
        <v>257</v>
      </c>
      <c r="C22" s="18" t="s">
        <v>258</v>
      </c>
      <c r="D22" s="18">
        <v>1.1</v>
      </c>
      <c r="E22" s="18" t="s">
        <v>207</v>
      </c>
      <c r="F22" s="18">
        <v>71</v>
      </c>
      <c r="G22" s="18">
        <v>2</v>
      </c>
      <c r="H22" s="18">
        <v>47476</v>
      </c>
      <c r="I22" s="18" t="s">
        <v>48</v>
      </c>
      <c r="J22" s="18" t="s">
        <v>199</v>
      </c>
      <c r="K22" s="18" t="s">
        <v>203</v>
      </c>
      <c r="L22" s="8" t="s">
        <v>114</v>
      </c>
      <c r="M22" s="8" t="s">
        <v>115</v>
      </c>
    </row>
    <row r="23" spans="1:13">
      <c r="A23" s="18" t="s">
        <v>56</v>
      </c>
      <c r="B23" s="18" t="s">
        <v>257</v>
      </c>
      <c r="C23" s="18" t="s">
        <v>258</v>
      </c>
      <c r="D23" s="18">
        <v>1.1</v>
      </c>
      <c r="E23" s="18" t="s">
        <v>208</v>
      </c>
      <c r="F23" s="18">
        <v>74</v>
      </c>
      <c r="G23" s="18">
        <v>2</v>
      </c>
      <c r="H23" s="18" t="s">
        <v>59</v>
      </c>
      <c r="I23" s="18" t="s">
        <v>202</v>
      </c>
      <c r="J23" s="18" t="s">
        <v>199</v>
      </c>
      <c r="K23" s="18" t="s">
        <v>203</v>
      </c>
      <c r="L23" s="8" t="s">
        <v>81</v>
      </c>
      <c r="M23" s="8" t="s">
        <v>82</v>
      </c>
    </row>
    <row r="24" spans="1:13">
      <c r="A24" s="18" t="s">
        <v>56</v>
      </c>
      <c r="B24" s="18" t="s">
        <v>257</v>
      </c>
      <c r="C24" s="18" t="s">
        <v>258</v>
      </c>
      <c r="D24" s="18">
        <v>1.1</v>
      </c>
      <c r="E24" s="18" t="s">
        <v>209</v>
      </c>
      <c r="F24" s="18">
        <v>7</v>
      </c>
      <c r="G24" s="18">
        <v>1</v>
      </c>
      <c r="H24" s="18"/>
      <c r="I24" s="18"/>
      <c r="J24" s="18" t="s">
        <v>199</v>
      </c>
      <c r="K24" s="18" t="s">
        <v>200</v>
      </c>
      <c r="L24" s="8" t="s">
        <v>49</v>
      </c>
      <c r="M24" s="8" t="s">
        <v>50</v>
      </c>
    </row>
    <row r="25" spans="1:13">
      <c r="A25" s="18" t="s">
        <v>56</v>
      </c>
      <c r="B25" s="18" t="s">
        <v>257</v>
      </c>
      <c r="C25" s="18" t="s">
        <v>258</v>
      </c>
      <c r="D25" s="18">
        <v>1.1</v>
      </c>
      <c r="E25" s="18" t="s">
        <v>210</v>
      </c>
      <c r="F25" s="18">
        <v>16</v>
      </c>
      <c r="G25" s="18">
        <v>1</v>
      </c>
      <c r="H25" s="18"/>
      <c r="I25" s="18"/>
      <c r="J25" s="18" t="s">
        <v>199</v>
      </c>
      <c r="K25" s="18" t="s">
        <v>200</v>
      </c>
      <c r="L25" s="8" t="s">
        <v>39</v>
      </c>
      <c r="M25" s="8" t="s">
        <v>40</v>
      </c>
    </row>
    <row r="26" spans="1:13">
      <c r="A26" s="18" t="s">
        <v>56</v>
      </c>
      <c r="B26" s="18" t="s">
        <v>257</v>
      </c>
      <c r="C26" s="18" t="s">
        <v>258</v>
      </c>
      <c r="D26" s="18">
        <v>1.1</v>
      </c>
      <c r="E26" s="18" t="s">
        <v>211</v>
      </c>
      <c r="F26" s="18">
        <v>17</v>
      </c>
      <c r="G26" s="18">
        <v>1</v>
      </c>
      <c r="H26" s="18"/>
      <c r="I26" s="18"/>
      <c r="J26" s="18" t="s">
        <v>199</v>
      </c>
      <c r="K26" s="18" t="s">
        <v>200</v>
      </c>
      <c r="L26" s="8" t="s">
        <v>86</v>
      </c>
      <c r="M26" s="8" t="s">
        <v>87</v>
      </c>
    </row>
    <row r="27" spans="1:13">
      <c r="A27" s="18" t="s">
        <v>56</v>
      </c>
      <c r="B27" s="18" t="s">
        <v>257</v>
      </c>
      <c r="C27" s="18" t="s">
        <v>258</v>
      </c>
      <c r="D27" s="18">
        <v>1.1</v>
      </c>
      <c r="E27" s="18" t="s">
        <v>107</v>
      </c>
      <c r="F27" s="18">
        <v>45</v>
      </c>
      <c r="G27" s="18">
        <v>1</v>
      </c>
      <c r="H27" s="18"/>
      <c r="I27" s="18"/>
      <c r="J27" s="18" t="s">
        <v>199</v>
      </c>
      <c r="K27" s="18" t="s">
        <v>200</v>
      </c>
      <c r="L27" s="8" t="s">
        <v>39</v>
      </c>
      <c r="M27" s="8" t="s">
        <v>40</v>
      </c>
    </row>
    <row r="28" spans="1:13">
      <c r="A28" s="18" t="s">
        <v>56</v>
      </c>
      <c r="B28" s="18" t="s">
        <v>257</v>
      </c>
      <c r="C28" s="18" t="s">
        <v>258</v>
      </c>
      <c r="D28" s="18">
        <v>1.1</v>
      </c>
      <c r="E28" s="18" t="s">
        <v>117</v>
      </c>
      <c r="F28" s="18">
        <v>59</v>
      </c>
      <c r="G28" s="18">
        <v>1</v>
      </c>
      <c r="H28" s="18"/>
      <c r="I28" s="18"/>
      <c r="J28" s="18" t="s">
        <v>199</v>
      </c>
      <c r="K28" s="18" t="s">
        <v>200</v>
      </c>
      <c r="L28" s="8" t="s">
        <v>102</v>
      </c>
      <c r="M28" s="8" t="s">
        <v>103</v>
      </c>
    </row>
    <row r="29" spans="1:13">
      <c r="A29" s="18" t="s">
        <v>56</v>
      </c>
      <c r="B29" s="18" t="s">
        <v>257</v>
      </c>
      <c r="C29" s="18" t="s">
        <v>258</v>
      </c>
      <c r="D29" s="18">
        <v>1.1</v>
      </c>
      <c r="E29" s="18" t="s">
        <v>118</v>
      </c>
      <c r="F29" s="18">
        <v>62</v>
      </c>
      <c r="G29" s="18">
        <v>1</v>
      </c>
      <c r="H29" s="18"/>
      <c r="I29" s="18"/>
      <c r="J29" s="18" t="s">
        <v>199</v>
      </c>
      <c r="K29" s="18" t="s">
        <v>200</v>
      </c>
      <c r="L29" s="8" t="s">
        <v>119</v>
      </c>
      <c r="M29" s="8" t="s">
        <v>120</v>
      </c>
    </row>
    <row r="30" spans="1:13">
      <c r="A30" s="18" t="s">
        <v>56</v>
      </c>
      <c r="B30" s="18" t="s">
        <v>257</v>
      </c>
      <c r="C30" s="18" t="s">
        <v>258</v>
      </c>
      <c r="D30" s="18">
        <v>1.1</v>
      </c>
      <c r="E30" s="18" t="s">
        <v>212</v>
      </c>
      <c r="F30" s="18">
        <v>66</v>
      </c>
      <c r="G30" s="18">
        <v>1</v>
      </c>
      <c r="H30" s="18"/>
      <c r="I30" s="18"/>
      <c r="J30" s="18" t="s">
        <v>199</v>
      </c>
      <c r="K30" s="18" t="s">
        <v>200</v>
      </c>
      <c r="L30" s="8" t="s">
        <v>86</v>
      </c>
      <c r="M30" s="8" t="s">
        <v>87</v>
      </c>
    </row>
    <row r="31" spans="1:13">
      <c r="A31" s="18" t="s">
        <v>56</v>
      </c>
      <c r="B31" s="18" t="s">
        <v>257</v>
      </c>
      <c r="C31" s="18" t="s">
        <v>258</v>
      </c>
      <c r="D31" s="18">
        <v>1.1</v>
      </c>
      <c r="E31" s="18" t="s">
        <v>213</v>
      </c>
      <c r="F31" s="18">
        <v>76</v>
      </c>
      <c r="G31" s="18">
        <v>1</v>
      </c>
      <c r="H31" s="18"/>
      <c r="I31" s="18"/>
      <c r="J31" s="18" t="s">
        <v>199</v>
      </c>
      <c r="K31" s="18" t="s">
        <v>200</v>
      </c>
      <c r="L31" s="8" t="s">
        <v>81</v>
      </c>
      <c r="M31" s="8" t="s">
        <v>82</v>
      </c>
    </row>
    <row r="32" spans="1:13">
      <c r="A32" s="18" t="s">
        <v>56</v>
      </c>
      <c r="B32" s="18" t="s">
        <v>257</v>
      </c>
      <c r="C32" s="18" t="s">
        <v>258</v>
      </c>
      <c r="D32" s="18">
        <v>1.1</v>
      </c>
      <c r="E32" s="18" t="s">
        <v>214</v>
      </c>
      <c r="F32" s="18">
        <v>80</v>
      </c>
      <c r="G32" s="18">
        <v>1</v>
      </c>
      <c r="H32" s="18"/>
      <c r="I32" s="18"/>
      <c r="J32" s="18" t="s">
        <v>199</v>
      </c>
      <c r="K32" s="18" t="s">
        <v>200</v>
      </c>
      <c r="L32" s="8" t="s">
        <v>119</v>
      </c>
      <c r="M32" s="8" t="s">
        <v>120</v>
      </c>
    </row>
    <row r="33" spans="1:13">
      <c r="A33" s="18" t="s">
        <v>56</v>
      </c>
      <c r="B33" s="18" t="s">
        <v>257</v>
      </c>
      <c r="C33" s="18" t="s">
        <v>258</v>
      </c>
      <c r="D33" s="18">
        <v>1.1</v>
      </c>
      <c r="E33" s="18" t="s">
        <v>215</v>
      </c>
      <c r="F33" s="18">
        <v>84</v>
      </c>
      <c r="G33" s="18">
        <v>1</v>
      </c>
      <c r="H33" s="18"/>
      <c r="I33" s="18"/>
      <c r="J33" s="18" t="s">
        <v>199</v>
      </c>
      <c r="K33" s="18" t="s">
        <v>200</v>
      </c>
      <c r="L33" s="8" t="s">
        <v>86</v>
      </c>
      <c r="M33" s="8" t="s">
        <v>87</v>
      </c>
    </row>
    <row r="34" spans="1:13">
      <c r="A34" s="18" t="s">
        <v>56</v>
      </c>
      <c r="B34" s="18" t="s">
        <v>257</v>
      </c>
      <c r="C34" s="18" t="s">
        <v>258</v>
      </c>
      <c r="D34" s="18">
        <v>1.1</v>
      </c>
      <c r="E34" s="18" t="s">
        <v>216</v>
      </c>
      <c r="F34" s="18">
        <v>87</v>
      </c>
      <c r="G34" s="18">
        <v>1</v>
      </c>
      <c r="H34" s="18"/>
      <c r="I34" s="18"/>
      <c r="J34" s="18" t="s">
        <v>199</v>
      </c>
      <c r="K34" s="18" t="s">
        <v>200</v>
      </c>
      <c r="L34" s="8" t="s">
        <v>81</v>
      </c>
      <c r="M34" s="8" t="s">
        <v>82</v>
      </c>
    </row>
    <row r="35" spans="1:13">
      <c r="A35" s="18" t="s">
        <v>90</v>
      </c>
      <c r="B35" s="18" t="s">
        <v>257</v>
      </c>
      <c r="C35" s="18" t="s">
        <v>261</v>
      </c>
      <c r="D35" s="18">
        <v>1.2</v>
      </c>
      <c r="E35" s="18" t="s">
        <v>131</v>
      </c>
      <c r="F35" s="18">
        <v>89</v>
      </c>
      <c r="G35" s="18">
        <v>2</v>
      </c>
      <c r="H35" s="18">
        <v>84182</v>
      </c>
      <c r="I35" s="18" t="s">
        <v>48</v>
      </c>
      <c r="J35" s="18" t="s">
        <v>24</v>
      </c>
      <c r="K35" s="18" t="s">
        <v>205</v>
      </c>
      <c r="L35" s="8" t="s">
        <v>26</v>
      </c>
      <c r="M35" s="8" t="s">
        <v>27</v>
      </c>
    </row>
    <row r="36" spans="1:13">
      <c r="A36" s="18" t="s">
        <v>90</v>
      </c>
      <c r="B36" s="18" t="s">
        <v>257</v>
      </c>
      <c r="C36" s="18" t="s">
        <v>261</v>
      </c>
      <c r="D36" s="18">
        <v>1.2</v>
      </c>
      <c r="E36" s="18" t="s">
        <v>128</v>
      </c>
      <c r="F36" s="18">
        <v>81</v>
      </c>
      <c r="G36" s="18">
        <v>1</v>
      </c>
      <c r="H36" s="18" t="s">
        <v>197</v>
      </c>
      <c r="I36" s="18"/>
      <c r="J36" s="18" t="s">
        <v>24</v>
      </c>
      <c r="K36" s="18" t="s">
        <v>25</v>
      </c>
      <c r="L36" s="8" t="s">
        <v>73</v>
      </c>
      <c r="M36" s="8" t="s">
        <v>74</v>
      </c>
    </row>
    <row r="37" spans="1:13">
      <c r="A37" s="18" t="s">
        <v>90</v>
      </c>
      <c r="B37" s="18" t="s">
        <v>257</v>
      </c>
      <c r="C37" s="18" t="s">
        <v>261</v>
      </c>
      <c r="D37" s="18">
        <v>1.2</v>
      </c>
      <c r="E37" s="18" t="s">
        <v>127</v>
      </c>
      <c r="F37" s="18">
        <v>78</v>
      </c>
      <c r="G37" s="18">
        <v>1</v>
      </c>
      <c r="H37" s="18" t="s">
        <v>197</v>
      </c>
      <c r="I37" s="18"/>
      <c r="J37" s="18" t="s">
        <v>24</v>
      </c>
      <c r="K37" s="18" t="s">
        <v>55</v>
      </c>
      <c r="L37" s="8" t="s">
        <v>114</v>
      </c>
      <c r="M37" s="8" t="s">
        <v>115</v>
      </c>
    </row>
    <row r="38" spans="1:13">
      <c r="A38" s="18" t="s">
        <v>90</v>
      </c>
      <c r="B38" s="18" t="s">
        <v>257</v>
      </c>
      <c r="C38" s="18" t="s">
        <v>261</v>
      </c>
      <c r="D38" s="18">
        <v>1.2</v>
      </c>
      <c r="E38" s="18" t="s">
        <v>218</v>
      </c>
      <c r="F38" s="18">
        <v>75</v>
      </c>
      <c r="G38" s="18">
        <v>1</v>
      </c>
      <c r="H38" s="18" t="s">
        <v>197</v>
      </c>
      <c r="I38" s="18"/>
      <c r="J38" s="18" t="s">
        <v>199</v>
      </c>
      <c r="K38" s="18" t="s">
        <v>200</v>
      </c>
      <c r="L38" s="8" t="s">
        <v>81</v>
      </c>
      <c r="M38" s="8" t="s">
        <v>82</v>
      </c>
    </row>
    <row r="39" spans="1:13">
      <c r="A39" s="18" t="s">
        <v>90</v>
      </c>
      <c r="B39" s="18" t="s">
        <v>257</v>
      </c>
      <c r="C39" s="18" t="s">
        <v>261</v>
      </c>
      <c r="D39" s="18">
        <v>1.2</v>
      </c>
      <c r="E39" s="18" t="s">
        <v>125</v>
      </c>
      <c r="F39" s="18">
        <v>72</v>
      </c>
      <c r="G39" s="18">
        <v>1</v>
      </c>
      <c r="H39" s="18" t="s">
        <v>197</v>
      </c>
      <c r="I39" s="18"/>
      <c r="J39" s="18" t="s">
        <v>24</v>
      </c>
      <c r="K39" s="18" t="s">
        <v>25</v>
      </c>
      <c r="L39" s="8" t="s">
        <v>96</v>
      </c>
      <c r="M39" s="8" t="s">
        <v>97</v>
      </c>
    </row>
    <row r="40" spans="1:13">
      <c r="A40" s="18" t="s">
        <v>90</v>
      </c>
      <c r="B40" s="18" t="s">
        <v>257</v>
      </c>
      <c r="C40" s="18" t="s">
        <v>261</v>
      </c>
      <c r="D40" s="18">
        <v>1.2</v>
      </c>
      <c r="E40" s="18" t="s">
        <v>124</v>
      </c>
      <c r="F40" s="18">
        <v>69</v>
      </c>
      <c r="G40" s="18">
        <v>1</v>
      </c>
      <c r="H40" s="18" t="s">
        <v>197</v>
      </c>
      <c r="I40" s="18"/>
      <c r="J40" s="18" t="s">
        <v>199</v>
      </c>
      <c r="K40" s="18" t="s">
        <v>200</v>
      </c>
      <c r="L40" s="8" t="s">
        <v>102</v>
      </c>
      <c r="M40" s="8" t="s">
        <v>103</v>
      </c>
    </row>
    <row r="41" spans="1:13">
      <c r="A41" s="18" t="s">
        <v>90</v>
      </c>
      <c r="B41" s="18" t="s">
        <v>257</v>
      </c>
      <c r="C41" s="18" t="s">
        <v>261</v>
      </c>
      <c r="D41" s="18">
        <v>1.2</v>
      </c>
      <c r="E41" s="18" t="s">
        <v>123</v>
      </c>
      <c r="F41" s="18">
        <v>68</v>
      </c>
      <c r="G41" s="18">
        <v>1</v>
      </c>
      <c r="H41" s="18" t="s">
        <v>197</v>
      </c>
      <c r="I41" s="18"/>
      <c r="J41" s="18" t="s">
        <v>199</v>
      </c>
      <c r="K41" s="18" t="s">
        <v>200</v>
      </c>
      <c r="L41" s="8" t="s">
        <v>110</v>
      </c>
      <c r="M41" s="8" t="s">
        <v>111</v>
      </c>
    </row>
    <row r="42" spans="1:13">
      <c r="A42" s="18" t="s">
        <v>90</v>
      </c>
      <c r="B42" s="18" t="s">
        <v>257</v>
      </c>
      <c r="C42" s="18" t="s">
        <v>261</v>
      </c>
      <c r="D42" s="18">
        <v>1.2</v>
      </c>
      <c r="E42" s="18" t="s">
        <v>219</v>
      </c>
      <c r="F42" s="18">
        <v>67</v>
      </c>
      <c r="G42" s="18">
        <v>1</v>
      </c>
      <c r="H42" s="18" t="s">
        <v>197</v>
      </c>
      <c r="I42" s="18"/>
      <c r="J42" s="18" t="s">
        <v>199</v>
      </c>
      <c r="K42" s="18" t="s">
        <v>200</v>
      </c>
      <c r="L42" s="8" t="s">
        <v>259</v>
      </c>
      <c r="M42" s="8" t="s">
        <v>260</v>
      </c>
    </row>
    <row r="43" spans="1:13">
      <c r="A43" s="18" t="s">
        <v>90</v>
      </c>
      <c r="B43" s="18" t="s">
        <v>257</v>
      </c>
      <c r="C43" s="18" t="s">
        <v>261</v>
      </c>
      <c r="D43" s="18">
        <v>1.2</v>
      </c>
      <c r="E43" s="18" t="s">
        <v>122</v>
      </c>
      <c r="F43" s="18">
        <v>64</v>
      </c>
      <c r="G43" s="18">
        <v>1</v>
      </c>
      <c r="H43" s="18" t="s">
        <v>197</v>
      </c>
      <c r="I43" s="18"/>
      <c r="J43" s="18" t="s">
        <v>24</v>
      </c>
      <c r="K43" s="18" t="s">
        <v>25</v>
      </c>
      <c r="L43" s="8" t="s">
        <v>119</v>
      </c>
      <c r="M43" s="8" t="s">
        <v>120</v>
      </c>
    </row>
    <row r="44" spans="1:13">
      <c r="A44" s="18" t="s">
        <v>90</v>
      </c>
      <c r="B44" s="18" t="s">
        <v>257</v>
      </c>
      <c r="C44" s="18" t="s">
        <v>261</v>
      </c>
      <c r="D44" s="18">
        <v>1.2</v>
      </c>
      <c r="E44" s="18" t="s">
        <v>121</v>
      </c>
      <c r="F44" s="18">
        <v>63</v>
      </c>
      <c r="G44" s="18">
        <v>1</v>
      </c>
      <c r="H44" s="18" t="s">
        <v>197</v>
      </c>
      <c r="I44" s="18"/>
      <c r="J44" s="18" t="s">
        <v>24</v>
      </c>
      <c r="K44" s="18" t="s">
        <v>25</v>
      </c>
      <c r="L44" s="8" t="s">
        <v>119</v>
      </c>
      <c r="M44" s="8" t="s">
        <v>120</v>
      </c>
    </row>
    <row r="45" spans="1:13">
      <c r="A45" s="18" t="s">
        <v>90</v>
      </c>
      <c r="B45" s="18" t="s">
        <v>257</v>
      </c>
      <c r="C45" s="18" t="s">
        <v>261</v>
      </c>
      <c r="D45" s="18">
        <v>1.2</v>
      </c>
      <c r="E45" s="18" t="s">
        <v>118</v>
      </c>
      <c r="F45" s="18">
        <v>62</v>
      </c>
      <c r="G45" s="18">
        <v>1</v>
      </c>
      <c r="H45" s="18" t="s">
        <v>197</v>
      </c>
      <c r="I45" s="18"/>
      <c r="J45" s="18" t="s">
        <v>199</v>
      </c>
      <c r="K45" s="18" t="s">
        <v>200</v>
      </c>
      <c r="L45" s="8" t="s">
        <v>119</v>
      </c>
      <c r="M45" s="8" t="s">
        <v>120</v>
      </c>
    </row>
    <row r="46" spans="1:13">
      <c r="A46" s="18" t="s">
        <v>90</v>
      </c>
      <c r="B46" s="18" t="s">
        <v>257</v>
      </c>
      <c r="C46" s="18" t="s">
        <v>261</v>
      </c>
      <c r="D46" s="18">
        <v>1.2</v>
      </c>
      <c r="E46" s="18" t="s">
        <v>220</v>
      </c>
      <c r="F46" s="18">
        <v>61</v>
      </c>
      <c r="G46" s="18">
        <v>1</v>
      </c>
      <c r="H46" s="18" t="s">
        <v>197</v>
      </c>
      <c r="I46" s="18"/>
      <c r="J46" s="18" t="s">
        <v>199</v>
      </c>
      <c r="K46" s="18" t="s">
        <v>200</v>
      </c>
      <c r="L46" s="8" t="s">
        <v>102</v>
      </c>
      <c r="M46" s="8" t="s">
        <v>103</v>
      </c>
    </row>
    <row r="47" spans="1:13">
      <c r="A47" s="18" t="s">
        <v>90</v>
      </c>
      <c r="B47" s="18" t="s">
        <v>257</v>
      </c>
      <c r="C47" s="18" t="s">
        <v>261</v>
      </c>
      <c r="D47" s="18">
        <v>1.2</v>
      </c>
      <c r="E47" s="18" t="s">
        <v>204</v>
      </c>
      <c r="F47" s="18">
        <v>60</v>
      </c>
      <c r="G47" s="18">
        <v>1</v>
      </c>
      <c r="H47" s="18" t="s">
        <v>197</v>
      </c>
      <c r="I47" s="18"/>
      <c r="J47" s="18" t="s">
        <v>199</v>
      </c>
      <c r="K47" s="18" t="s">
        <v>200</v>
      </c>
      <c r="L47" s="8" t="s">
        <v>259</v>
      </c>
      <c r="M47" s="8" t="s">
        <v>260</v>
      </c>
    </row>
    <row r="48" spans="1:13">
      <c r="A48" s="18" t="s">
        <v>90</v>
      </c>
      <c r="B48" s="18" t="s">
        <v>257</v>
      </c>
      <c r="C48" s="18" t="s">
        <v>261</v>
      </c>
      <c r="D48" s="18">
        <v>1.2</v>
      </c>
      <c r="E48" s="18" t="s">
        <v>113</v>
      </c>
      <c r="F48" s="18">
        <v>57</v>
      </c>
      <c r="G48" s="18">
        <v>1</v>
      </c>
      <c r="H48" s="18" t="s">
        <v>197</v>
      </c>
      <c r="I48" s="18"/>
      <c r="J48" s="18" t="s">
        <v>24</v>
      </c>
      <c r="K48" s="18" t="s">
        <v>25</v>
      </c>
      <c r="L48" s="8" t="s">
        <v>114</v>
      </c>
      <c r="M48" s="8" t="s">
        <v>115</v>
      </c>
    </row>
    <row r="49" spans="1:13">
      <c r="A49" s="18" t="s">
        <v>90</v>
      </c>
      <c r="B49" s="18" t="s">
        <v>257</v>
      </c>
      <c r="C49" s="18" t="s">
        <v>261</v>
      </c>
      <c r="D49" s="18">
        <v>1.2</v>
      </c>
      <c r="E49" s="18" t="s">
        <v>108</v>
      </c>
      <c r="F49" s="18">
        <v>46</v>
      </c>
      <c r="G49" s="18">
        <v>1</v>
      </c>
      <c r="H49" s="18" t="s">
        <v>197</v>
      </c>
      <c r="I49" s="18"/>
      <c r="J49" s="18" t="s">
        <v>199</v>
      </c>
      <c r="K49" s="18" t="s">
        <v>200</v>
      </c>
      <c r="L49" s="8" t="s">
        <v>81</v>
      </c>
      <c r="M49" s="8" t="s">
        <v>82</v>
      </c>
    </row>
    <row r="50" spans="1:13">
      <c r="A50" s="18" t="s">
        <v>90</v>
      </c>
      <c r="B50" s="18" t="s">
        <v>257</v>
      </c>
      <c r="C50" s="18" t="s">
        <v>261</v>
      </c>
      <c r="D50" s="18">
        <v>1.2</v>
      </c>
      <c r="E50" s="18" t="s">
        <v>107</v>
      </c>
      <c r="F50" s="18">
        <v>45</v>
      </c>
      <c r="G50" s="18">
        <v>1</v>
      </c>
      <c r="H50" s="18" t="s">
        <v>197</v>
      </c>
      <c r="I50" s="18"/>
      <c r="J50" s="18" t="s">
        <v>199</v>
      </c>
      <c r="K50" s="18" t="s">
        <v>200</v>
      </c>
      <c r="L50" s="8" t="s">
        <v>39</v>
      </c>
      <c r="M50" s="8" t="s">
        <v>40</v>
      </c>
    </row>
    <row r="51" spans="1:13">
      <c r="A51" s="18" t="s">
        <v>90</v>
      </c>
      <c r="B51" s="18" t="s">
        <v>257</v>
      </c>
      <c r="C51" s="18" t="s">
        <v>261</v>
      </c>
      <c r="D51" s="18">
        <v>1.2</v>
      </c>
      <c r="E51" s="18" t="s">
        <v>221</v>
      </c>
      <c r="F51" s="18">
        <v>44</v>
      </c>
      <c r="G51" s="18">
        <v>1</v>
      </c>
      <c r="H51" s="18" t="s">
        <v>197</v>
      </c>
      <c r="I51" s="18"/>
      <c r="J51" s="18" t="s">
        <v>199</v>
      </c>
      <c r="K51" s="18" t="s">
        <v>200</v>
      </c>
      <c r="L51" s="8" t="s">
        <v>67</v>
      </c>
      <c r="M51" s="8" t="s">
        <v>68</v>
      </c>
    </row>
    <row r="52" spans="1:13">
      <c r="A52" s="18" t="s">
        <v>90</v>
      </c>
      <c r="B52" s="18" t="s">
        <v>257</v>
      </c>
      <c r="C52" s="18" t="s">
        <v>261</v>
      </c>
      <c r="D52" s="18">
        <v>1.2</v>
      </c>
      <c r="E52" s="18" t="s">
        <v>100</v>
      </c>
      <c r="F52" s="18">
        <v>36</v>
      </c>
      <c r="G52" s="18">
        <v>1</v>
      </c>
      <c r="H52" s="18" t="s">
        <v>197</v>
      </c>
      <c r="I52" s="18"/>
      <c r="J52" s="18" t="s">
        <v>24</v>
      </c>
      <c r="K52" s="18" t="s">
        <v>25</v>
      </c>
      <c r="L52" s="8" t="s">
        <v>26</v>
      </c>
      <c r="M52" s="8" t="s">
        <v>27</v>
      </c>
    </row>
    <row r="53" spans="1:13">
      <c r="A53" s="18" t="s">
        <v>90</v>
      </c>
      <c r="B53" s="18" t="s">
        <v>257</v>
      </c>
      <c r="C53" s="18" t="s">
        <v>261</v>
      </c>
      <c r="D53" s="18">
        <v>1.2</v>
      </c>
      <c r="E53" s="18" t="s">
        <v>95</v>
      </c>
      <c r="F53" s="18">
        <v>33</v>
      </c>
      <c r="G53" s="18">
        <v>2</v>
      </c>
      <c r="H53" s="18">
        <v>44172</v>
      </c>
      <c r="I53" s="18" t="s">
        <v>48</v>
      </c>
      <c r="J53" s="18" t="s">
        <v>24</v>
      </c>
      <c r="K53" s="18" t="s">
        <v>205</v>
      </c>
      <c r="L53" s="8" t="s">
        <v>96</v>
      </c>
      <c r="M53" s="8" t="s">
        <v>97</v>
      </c>
    </row>
    <row r="54" spans="1:13">
      <c r="A54" s="18" t="s">
        <v>90</v>
      </c>
      <c r="B54" s="18" t="s">
        <v>257</v>
      </c>
      <c r="C54" s="18" t="s">
        <v>261</v>
      </c>
      <c r="D54" s="18">
        <v>1.2</v>
      </c>
      <c r="E54" s="18" t="s">
        <v>94</v>
      </c>
      <c r="F54" s="18">
        <v>28</v>
      </c>
      <c r="G54" s="18">
        <v>1</v>
      </c>
      <c r="H54" s="18" t="s">
        <v>197</v>
      </c>
      <c r="I54" s="18"/>
      <c r="J54" s="18" t="s">
        <v>24</v>
      </c>
      <c r="K54" s="18" t="s">
        <v>55</v>
      </c>
      <c r="L54" s="8" t="s">
        <v>39</v>
      </c>
      <c r="M54" s="8" t="s">
        <v>40</v>
      </c>
    </row>
    <row r="55" spans="1:13">
      <c r="A55" s="18" t="s">
        <v>90</v>
      </c>
      <c r="B55" s="18" t="s">
        <v>257</v>
      </c>
      <c r="C55" s="18" t="s">
        <v>261</v>
      </c>
      <c r="D55" s="18">
        <v>1.2</v>
      </c>
      <c r="E55" s="18" t="s">
        <v>92</v>
      </c>
      <c r="F55" s="18">
        <v>23</v>
      </c>
      <c r="G55" s="18">
        <v>1</v>
      </c>
      <c r="H55" s="18" t="s">
        <v>197</v>
      </c>
      <c r="I55" s="18"/>
      <c r="J55" s="18" t="s">
        <v>24</v>
      </c>
      <c r="K55" s="18" t="s">
        <v>55</v>
      </c>
      <c r="L55" s="8" t="s">
        <v>49</v>
      </c>
      <c r="M55" s="8" t="s">
        <v>50</v>
      </c>
    </row>
    <row r="56" spans="1:13">
      <c r="A56" s="18" t="s">
        <v>90</v>
      </c>
      <c r="B56" s="18" t="s">
        <v>257</v>
      </c>
      <c r="C56" s="18" t="s">
        <v>261</v>
      </c>
      <c r="D56" s="18">
        <v>1.2</v>
      </c>
      <c r="E56" s="18" t="s">
        <v>85</v>
      </c>
      <c r="F56" s="18">
        <v>22</v>
      </c>
      <c r="G56" s="18">
        <v>1</v>
      </c>
      <c r="H56" s="18" t="s">
        <v>197</v>
      </c>
      <c r="I56" s="18"/>
      <c r="J56" s="18" t="s">
        <v>199</v>
      </c>
      <c r="K56" s="18" t="s">
        <v>200</v>
      </c>
      <c r="L56" s="8" t="s">
        <v>86</v>
      </c>
      <c r="M56" s="8" t="s">
        <v>87</v>
      </c>
    </row>
    <row r="57" spans="1:13">
      <c r="A57" s="18" t="s">
        <v>90</v>
      </c>
      <c r="B57" s="18" t="s">
        <v>257</v>
      </c>
      <c r="C57" s="18" t="s">
        <v>261</v>
      </c>
      <c r="D57" s="18">
        <v>1.2</v>
      </c>
      <c r="E57" s="18" t="s">
        <v>80</v>
      </c>
      <c r="F57" s="18">
        <v>20</v>
      </c>
      <c r="G57" s="18">
        <v>2</v>
      </c>
      <c r="H57" s="18">
        <v>29792</v>
      </c>
      <c r="I57" s="18" t="s">
        <v>48</v>
      </c>
      <c r="J57" s="18" t="s">
        <v>199</v>
      </c>
      <c r="K57" s="18" t="s">
        <v>203</v>
      </c>
      <c r="L57" s="8" t="s">
        <v>81</v>
      </c>
      <c r="M57" s="8" t="s">
        <v>82</v>
      </c>
    </row>
    <row r="58" spans="1:13">
      <c r="A58" s="18" t="s">
        <v>90</v>
      </c>
      <c r="B58" s="18" t="s">
        <v>257</v>
      </c>
      <c r="C58" s="18" t="s">
        <v>261</v>
      </c>
      <c r="D58" s="18">
        <v>1.2</v>
      </c>
      <c r="E58" s="18" t="s">
        <v>211</v>
      </c>
      <c r="F58" s="18">
        <v>17</v>
      </c>
      <c r="G58" s="18">
        <v>1</v>
      </c>
      <c r="H58" s="18" t="s">
        <v>197</v>
      </c>
      <c r="I58" s="18"/>
      <c r="J58" s="18" t="s">
        <v>199</v>
      </c>
      <c r="K58" s="18" t="s">
        <v>200</v>
      </c>
      <c r="L58" s="8" t="s">
        <v>86</v>
      </c>
      <c r="M58" s="8" t="s">
        <v>87</v>
      </c>
    </row>
    <row r="59" spans="1:13">
      <c r="A59" s="18" t="s">
        <v>90</v>
      </c>
      <c r="B59" s="18" t="s">
        <v>257</v>
      </c>
      <c r="C59" s="18" t="s">
        <v>261</v>
      </c>
      <c r="D59" s="18">
        <v>1.2</v>
      </c>
      <c r="E59" s="18" t="s">
        <v>58</v>
      </c>
      <c r="F59" s="18">
        <v>9</v>
      </c>
      <c r="G59" s="18">
        <v>1</v>
      </c>
      <c r="H59" s="18" t="s">
        <v>197</v>
      </c>
      <c r="I59" s="18"/>
      <c r="J59" s="18" t="s">
        <v>199</v>
      </c>
      <c r="K59" s="18" t="s">
        <v>200</v>
      </c>
      <c r="L59" s="8" t="s">
        <v>49</v>
      </c>
      <c r="M59" s="8" t="s">
        <v>50</v>
      </c>
    </row>
    <row r="60" spans="1:13">
      <c r="A60" s="18" t="s">
        <v>90</v>
      </c>
      <c r="B60" s="18" t="s">
        <v>257</v>
      </c>
      <c r="C60" s="18" t="s">
        <v>261</v>
      </c>
      <c r="D60" s="18">
        <v>1.2</v>
      </c>
      <c r="E60" s="18" t="s">
        <v>209</v>
      </c>
      <c r="F60" s="18">
        <v>7</v>
      </c>
      <c r="G60" s="18">
        <v>1</v>
      </c>
      <c r="H60" s="18" t="s">
        <v>197</v>
      </c>
      <c r="I60" s="18"/>
      <c r="J60" s="18" t="s">
        <v>199</v>
      </c>
      <c r="K60" s="18" t="s">
        <v>200</v>
      </c>
      <c r="L60" s="8" t="s">
        <v>49</v>
      </c>
      <c r="M60" s="8" t="s">
        <v>50</v>
      </c>
    </row>
    <row r="61" spans="1:13">
      <c r="A61" s="18" t="s">
        <v>64</v>
      </c>
      <c r="B61" s="18" t="s">
        <v>257</v>
      </c>
      <c r="C61" s="18" t="s">
        <v>262</v>
      </c>
      <c r="D61" s="18">
        <v>1.3</v>
      </c>
      <c r="E61" s="18" t="s">
        <v>128</v>
      </c>
      <c r="F61" s="18">
        <v>81</v>
      </c>
      <c r="G61" s="18">
        <v>1</v>
      </c>
      <c r="H61" s="18"/>
      <c r="I61" s="18"/>
      <c r="J61" s="18" t="s">
        <v>24</v>
      </c>
      <c r="K61" s="18" t="s">
        <v>55</v>
      </c>
      <c r="L61" s="8" t="s">
        <v>73</v>
      </c>
      <c r="M61" s="8" t="s">
        <v>74</v>
      </c>
    </row>
    <row r="62" spans="1:13">
      <c r="A62" s="18" t="s">
        <v>64</v>
      </c>
      <c r="B62" s="18" t="s">
        <v>257</v>
      </c>
      <c r="C62" s="18" t="s">
        <v>262</v>
      </c>
      <c r="D62" s="18">
        <v>1.3</v>
      </c>
      <c r="E62" s="18" t="s">
        <v>125</v>
      </c>
      <c r="F62" s="18">
        <v>72</v>
      </c>
      <c r="G62" s="18">
        <v>1</v>
      </c>
      <c r="H62" s="18"/>
      <c r="I62" s="18"/>
      <c r="J62" s="18" t="s">
        <v>24</v>
      </c>
      <c r="K62" s="18" t="s">
        <v>25</v>
      </c>
      <c r="L62" s="8" t="s">
        <v>96</v>
      </c>
      <c r="M62" s="8" t="s">
        <v>97</v>
      </c>
    </row>
    <row r="63" spans="1:13">
      <c r="A63" s="18" t="s">
        <v>64</v>
      </c>
      <c r="B63" s="18" t="s">
        <v>257</v>
      </c>
      <c r="C63" s="18" t="s">
        <v>262</v>
      </c>
      <c r="D63" s="18">
        <v>1.3</v>
      </c>
      <c r="E63" s="18" t="s">
        <v>124</v>
      </c>
      <c r="F63" s="18">
        <v>69</v>
      </c>
      <c r="G63" s="18">
        <v>1</v>
      </c>
      <c r="H63" s="18"/>
      <c r="I63" s="18"/>
      <c r="J63" s="18" t="s">
        <v>199</v>
      </c>
      <c r="K63" s="18" t="s">
        <v>200</v>
      </c>
      <c r="L63" s="8" t="s">
        <v>102</v>
      </c>
      <c r="M63" s="8" t="s">
        <v>103</v>
      </c>
    </row>
    <row r="64" spans="1:13">
      <c r="A64" s="18" t="s">
        <v>64</v>
      </c>
      <c r="B64" s="18" t="s">
        <v>257</v>
      </c>
      <c r="C64" s="18" t="s">
        <v>262</v>
      </c>
      <c r="D64" s="18">
        <v>1.3</v>
      </c>
      <c r="E64" s="18" t="s">
        <v>123</v>
      </c>
      <c r="F64" s="18">
        <v>68</v>
      </c>
      <c r="G64" s="18">
        <v>1</v>
      </c>
      <c r="H64" s="18"/>
      <c r="I64" s="18"/>
      <c r="J64" s="18" t="s">
        <v>199</v>
      </c>
      <c r="K64" s="18" t="s">
        <v>200</v>
      </c>
      <c r="L64" s="8" t="s">
        <v>110</v>
      </c>
      <c r="M64" s="8" t="s">
        <v>111</v>
      </c>
    </row>
    <row r="65" spans="1:13">
      <c r="A65" s="18" t="s">
        <v>64</v>
      </c>
      <c r="B65" s="18" t="s">
        <v>257</v>
      </c>
      <c r="C65" s="18" t="s">
        <v>262</v>
      </c>
      <c r="D65" s="18">
        <v>1.3</v>
      </c>
      <c r="E65" s="18" t="s">
        <v>219</v>
      </c>
      <c r="F65" s="18">
        <v>67</v>
      </c>
      <c r="G65" s="18">
        <v>1</v>
      </c>
      <c r="H65" s="18"/>
      <c r="I65" s="18"/>
      <c r="J65" s="18" t="s">
        <v>199</v>
      </c>
      <c r="K65" s="18" t="s">
        <v>200</v>
      </c>
      <c r="L65" s="8" t="s">
        <v>259</v>
      </c>
      <c r="M65" s="8" t="s">
        <v>260</v>
      </c>
    </row>
    <row r="66" spans="1:13">
      <c r="A66" s="18" t="s">
        <v>64</v>
      </c>
      <c r="B66" s="18" t="s">
        <v>257</v>
      </c>
      <c r="C66" s="18" t="s">
        <v>262</v>
      </c>
      <c r="D66" s="18">
        <v>1.3</v>
      </c>
      <c r="E66" s="18" t="s">
        <v>122</v>
      </c>
      <c r="F66" s="18">
        <v>64</v>
      </c>
      <c r="G66" s="18">
        <v>1</v>
      </c>
      <c r="H66" s="18"/>
      <c r="I66" s="18"/>
      <c r="J66" s="18" t="s">
        <v>24</v>
      </c>
      <c r="K66" s="18" t="s">
        <v>25</v>
      </c>
      <c r="L66" s="8" t="s">
        <v>119</v>
      </c>
      <c r="M66" s="8" t="s">
        <v>120</v>
      </c>
    </row>
    <row r="67" spans="1:13">
      <c r="A67" s="18" t="s">
        <v>64</v>
      </c>
      <c r="B67" s="18" t="s">
        <v>257</v>
      </c>
      <c r="C67" s="18" t="s">
        <v>262</v>
      </c>
      <c r="D67" s="18">
        <v>1.3</v>
      </c>
      <c r="E67" s="18" t="s">
        <v>121</v>
      </c>
      <c r="F67" s="18">
        <v>63</v>
      </c>
      <c r="G67" s="18">
        <v>1</v>
      </c>
      <c r="H67" s="18"/>
      <c r="I67" s="18"/>
      <c r="J67" s="18" t="s">
        <v>24</v>
      </c>
      <c r="K67" s="18" t="s">
        <v>55</v>
      </c>
      <c r="L67" s="8" t="s">
        <v>119</v>
      </c>
      <c r="M67" s="8" t="s">
        <v>120</v>
      </c>
    </row>
    <row r="68" spans="1:13">
      <c r="A68" s="18" t="s">
        <v>64</v>
      </c>
      <c r="B68" s="18" t="s">
        <v>257</v>
      </c>
      <c r="C68" s="18" t="s">
        <v>262</v>
      </c>
      <c r="D68" s="18">
        <v>1.3</v>
      </c>
      <c r="E68" s="18" t="s">
        <v>118</v>
      </c>
      <c r="F68" s="18">
        <v>62</v>
      </c>
      <c r="G68" s="18">
        <v>1</v>
      </c>
      <c r="H68" s="18"/>
      <c r="I68" s="18"/>
      <c r="J68" s="18" t="s">
        <v>199</v>
      </c>
      <c r="K68" s="18" t="s">
        <v>200</v>
      </c>
      <c r="L68" s="8" t="s">
        <v>119</v>
      </c>
      <c r="M68" s="8" t="s">
        <v>120</v>
      </c>
    </row>
    <row r="69" spans="1:13">
      <c r="A69" s="18" t="s">
        <v>64</v>
      </c>
      <c r="B69" s="18" t="s">
        <v>257</v>
      </c>
      <c r="C69" s="18" t="s">
        <v>262</v>
      </c>
      <c r="D69" s="18">
        <v>1.3</v>
      </c>
      <c r="E69" s="18" t="s">
        <v>117</v>
      </c>
      <c r="F69" s="18">
        <v>59</v>
      </c>
      <c r="G69" s="18">
        <v>1</v>
      </c>
      <c r="H69" s="18"/>
      <c r="I69" s="18"/>
      <c r="J69" s="18" t="s">
        <v>199</v>
      </c>
      <c r="K69" s="18" t="s">
        <v>200</v>
      </c>
      <c r="L69" s="8" t="s">
        <v>102</v>
      </c>
      <c r="M69" s="8" t="s">
        <v>103</v>
      </c>
    </row>
    <row r="70" spans="1:13">
      <c r="A70" s="18" t="s">
        <v>64</v>
      </c>
      <c r="B70" s="18" t="s">
        <v>257</v>
      </c>
      <c r="C70" s="18" t="s">
        <v>262</v>
      </c>
      <c r="D70" s="18">
        <v>1.3</v>
      </c>
      <c r="E70" s="18" t="s">
        <v>113</v>
      </c>
      <c r="F70" s="18">
        <v>57</v>
      </c>
      <c r="G70" s="18">
        <v>1</v>
      </c>
      <c r="H70" s="18"/>
      <c r="I70" s="18"/>
      <c r="J70" s="18" t="s">
        <v>24</v>
      </c>
      <c r="K70" s="18" t="s">
        <v>25</v>
      </c>
      <c r="L70" s="8" t="s">
        <v>114</v>
      </c>
      <c r="M70" s="8" t="s">
        <v>115</v>
      </c>
    </row>
    <row r="71" spans="1:13">
      <c r="A71" s="18" t="s">
        <v>64</v>
      </c>
      <c r="B71" s="18" t="s">
        <v>257</v>
      </c>
      <c r="C71" s="18" t="s">
        <v>262</v>
      </c>
      <c r="D71" s="18">
        <v>1.3</v>
      </c>
      <c r="E71" s="18" t="s">
        <v>222</v>
      </c>
      <c r="F71" s="18">
        <v>51</v>
      </c>
      <c r="G71" s="18">
        <v>1</v>
      </c>
      <c r="H71" s="18"/>
      <c r="I71" s="18"/>
      <c r="J71" s="18" t="s">
        <v>199</v>
      </c>
      <c r="K71" s="18" t="s">
        <v>200</v>
      </c>
      <c r="L71" s="8" t="s">
        <v>114</v>
      </c>
      <c r="M71" s="8" t="s">
        <v>115</v>
      </c>
    </row>
    <row r="72" spans="1:13">
      <c r="A72" s="18" t="s">
        <v>64</v>
      </c>
      <c r="B72" s="18" t="s">
        <v>257</v>
      </c>
      <c r="C72" s="18" t="s">
        <v>262</v>
      </c>
      <c r="D72" s="18">
        <v>1.3</v>
      </c>
      <c r="E72" s="18" t="s">
        <v>223</v>
      </c>
      <c r="F72" s="18">
        <v>48</v>
      </c>
      <c r="G72" s="18">
        <v>1</v>
      </c>
      <c r="H72" s="18"/>
      <c r="I72" s="18"/>
      <c r="J72" s="18" t="s">
        <v>199</v>
      </c>
      <c r="K72" s="18" t="s">
        <v>200</v>
      </c>
      <c r="L72" s="8" t="s">
        <v>110</v>
      </c>
      <c r="M72" s="8" t="s">
        <v>111</v>
      </c>
    </row>
    <row r="73" spans="1:13">
      <c r="A73" s="18" t="s">
        <v>64</v>
      </c>
      <c r="B73" s="18" t="s">
        <v>257</v>
      </c>
      <c r="C73" s="18" t="s">
        <v>262</v>
      </c>
      <c r="D73" s="18">
        <v>1.3</v>
      </c>
      <c r="E73" s="18" t="s">
        <v>108</v>
      </c>
      <c r="F73" s="18">
        <v>46</v>
      </c>
      <c r="G73" s="18">
        <v>1</v>
      </c>
      <c r="H73" s="18"/>
      <c r="I73" s="18"/>
      <c r="J73" s="18" t="s">
        <v>24</v>
      </c>
      <c r="K73" s="18" t="s">
        <v>55</v>
      </c>
      <c r="L73" s="8" t="s">
        <v>81</v>
      </c>
      <c r="M73" s="8" t="s">
        <v>82</v>
      </c>
    </row>
    <row r="74" spans="1:13">
      <c r="A74" s="18" t="s">
        <v>64</v>
      </c>
      <c r="B74" s="18" t="s">
        <v>257</v>
      </c>
      <c r="C74" s="18" t="s">
        <v>262</v>
      </c>
      <c r="D74" s="18">
        <v>1.3</v>
      </c>
      <c r="E74" s="18" t="s">
        <v>107</v>
      </c>
      <c r="F74" s="18">
        <v>45</v>
      </c>
      <c r="G74" s="18">
        <v>1</v>
      </c>
      <c r="H74" s="18"/>
      <c r="I74" s="18"/>
      <c r="J74" s="18" t="s">
        <v>199</v>
      </c>
      <c r="K74" s="18" t="s">
        <v>200</v>
      </c>
      <c r="L74" s="8" t="s">
        <v>39</v>
      </c>
      <c r="M74" s="8" t="s">
        <v>40</v>
      </c>
    </row>
    <row r="75" spans="1:13">
      <c r="A75" s="18" t="s">
        <v>64</v>
      </c>
      <c r="B75" s="18" t="s">
        <v>257</v>
      </c>
      <c r="C75" s="18" t="s">
        <v>262</v>
      </c>
      <c r="D75" s="18">
        <v>1.3</v>
      </c>
      <c r="E75" s="18" t="s">
        <v>100</v>
      </c>
      <c r="F75" s="18">
        <v>36</v>
      </c>
      <c r="G75" s="18">
        <v>1</v>
      </c>
      <c r="H75" s="18"/>
      <c r="I75" s="18"/>
      <c r="J75" s="18" t="s">
        <v>24</v>
      </c>
      <c r="K75" s="18" t="s">
        <v>25</v>
      </c>
      <c r="L75" s="8" t="s">
        <v>26</v>
      </c>
      <c r="M75" s="8" t="s">
        <v>27</v>
      </c>
    </row>
    <row r="76" spans="1:13">
      <c r="A76" s="18" t="s">
        <v>64</v>
      </c>
      <c r="B76" s="18" t="s">
        <v>257</v>
      </c>
      <c r="C76" s="18" t="s">
        <v>262</v>
      </c>
      <c r="D76" s="18">
        <v>1.3</v>
      </c>
      <c r="E76" s="18" t="s">
        <v>95</v>
      </c>
      <c r="F76" s="18">
        <v>33</v>
      </c>
      <c r="G76" s="18">
        <v>1</v>
      </c>
      <c r="H76" s="18"/>
      <c r="I76" s="18"/>
      <c r="J76" s="18" t="s">
        <v>199</v>
      </c>
      <c r="K76" s="18" t="s">
        <v>200</v>
      </c>
      <c r="L76" s="8" t="s">
        <v>96</v>
      </c>
      <c r="M76" s="8" t="s">
        <v>97</v>
      </c>
    </row>
    <row r="77" spans="1:13">
      <c r="A77" s="18" t="s">
        <v>64</v>
      </c>
      <c r="B77" s="18" t="s">
        <v>257</v>
      </c>
      <c r="C77" s="18" t="s">
        <v>262</v>
      </c>
      <c r="D77" s="18">
        <v>1.3</v>
      </c>
      <c r="E77" s="18" t="s">
        <v>94</v>
      </c>
      <c r="F77" s="18">
        <v>28</v>
      </c>
      <c r="G77" s="18">
        <v>2</v>
      </c>
      <c r="H77" s="19">
        <v>12262</v>
      </c>
      <c r="I77" s="19" t="s">
        <v>48</v>
      </c>
      <c r="J77" s="18" t="s">
        <v>199</v>
      </c>
      <c r="K77" s="18" t="s">
        <v>203</v>
      </c>
      <c r="L77" s="8" t="s">
        <v>39</v>
      </c>
      <c r="M77" s="8" t="s">
        <v>40</v>
      </c>
    </row>
    <row r="78" spans="1:13">
      <c r="A78" s="18" t="s">
        <v>64</v>
      </c>
      <c r="B78" s="18" t="s">
        <v>257</v>
      </c>
      <c r="C78" s="18" t="s">
        <v>262</v>
      </c>
      <c r="D78" s="18">
        <v>1.3</v>
      </c>
      <c r="E78" s="18" t="s">
        <v>224</v>
      </c>
      <c r="F78" s="18">
        <v>24</v>
      </c>
      <c r="G78" s="18">
        <v>1</v>
      </c>
      <c r="H78" s="18"/>
      <c r="I78" s="18"/>
      <c r="J78" s="18" t="s">
        <v>199</v>
      </c>
      <c r="K78" s="18" t="s">
        <v>200</v>
      </c>
      <c r="L78" s="8" t="s">
        <v>49</v>
      </c>
      <c r="M78" s="8" t="s">
        <v>50</v>
      </c>
    </row>
    <row r="79" spans="1:13">
      <c r="A79" s="18" t="s">
        <v>64</v>
      </c>
      <c r="B79" s="18" t="s">
        <v>257</v>
      </c>
      <c r="C79" s="18" t="s">
        <v>262</v>
      </c>
      <c r="D79" s="18">
        <v>1.3</v>
      </c>
      <c r="E79" s="18" t="s">
        <v>80</v>
      </c>
      <c r="F79" s="18">
        <v>20</v>
      </c>
      <c r="G79" s="18">
        <v>1</v>
      </c>
      <c r="H79" s="18"/>
      <c r="I79" s="18"/>
      <c r="J79" s="18" t="s">
        <v>24</v>
      </c>
      <c r="K79" s="18" t="s">
        <v>25</v>
      </c>
      <c r="L79" s="8" t="s">
        <v>81</v>
      </c>
      <c r="M79" s="8" t="s">
        <v>82</v>
      </c>
    </row>
    <row r="80" spans="1:13">
      <c r="A80" s="18" t="s">
        <v>64</v>
      </c>
      <c r="B80" s="18" t="s">
        <v>257</v>
      </c>
      <c r="C80" s="18" t="s">
        <v>262</v>
      </c>
      <c r="D80" s="18">
        <v>1.3</v>
      </c>
      <c r="E80" s="18" t="s">
        <v>211</v>
      </c>
      <c r="F80" s="18">
        <v>17</v>
      </c>
      <c r="G80" s="18">
        <v>1</v>
      </c>
      <c r="H80" s="18"/>
      <c r="I80" s="18"/>
      <c r="J80" s="18" t="s">
        <v>199</v>
      </c>
      <c r="K80" s="18" t="s">
        <v>200</v>
      </c>
      <c r="L80" s="8" t="s">
        <v>86</v>
      </c>
      <c r="M80" s="8" t="s">
        <v>87</v>
      </c>
    </row>
    <row r="81" spans="1:13">
      <c r="A81" s="18" t="s">
        <v>64</v>
      </c>
      <c r="B81" s="18" t="s">
        <v>257</v>
      </c>
      <c r="C81" s="18" t="s">
        <v>262</v>
      </c>
      <c r="D81" s="18">
        <v>1.3</v>
      </c>
      <c r="E81" s="18" t="s">
        <v>66</v>
      </c>
      <c r="F81" s="18">
        <v>12</v>
      </c>
      <c r="G81" s="18">
        <v>2</v>
      </c>
      <c r="H81" s="19">
        <v>11109</v>
      </c>
      <c r="I81" s="19" t="s">
        <v>32</v>
      </c>
      <c r="J81" s="18" t="s">
        <v>24</v>
      </c>
      <c r="K81" s="18" t="s">
        <v>205</v>
      </c>
      <c r="L81" s="8" t="s">
        <v>67</v>
      </c>
      <c r="M81" s="8" t="s">
        <v>68</v>
      </c>
    </row>
    <row r="82" spans="1:13">
      <c r="A82" s="18" t="s">
        <v>64</v>
      </c>
      <c r="B82" s="18" t="s">
        <v>257</v>
      </c>
      <c r="C82" s="18" t="s">
        <v>262</v>
      </c>
      <c r="D82" s="18">
        <v>1.3</v>
      </c>
      <c r="E82" s="18" t="s">
        <v>58</v>
      </c>
      <c r="F82" s="18">
        <v>9</v>
      </c>
      <c r="G82" s="18">
        <v>2</v>
      </c>
      <c r="H82" s="18" t="s">
        <v>72</v>
      </c>
      <c r="I82" s="18" t="s">
        <v>202</v>
      </c>
      <c r="J82" s="18" t="s">
        <v>199</v>
      </c>
      <c r="K82" s="18" t="s">
        <v>203</v>
      </c>
      <c r="L82" s="8" t="s">
        <v>49</v>
      </c>
      <c r="M82" s="8" t="s">
        <v>50</v>
      </c>
    </row>
    <row r="83" spans="1:13">
      <c r="A83" s="18" t="s">
        <v>64</v>
      </c>
      <c r="B83" s="18" t="s">
        <v>257</v>
      </c>
      <c r="C83" s="18" t="s">
        <v>262</v>
      </c>
      <c r="D83" s="18">
        <v>1.3</v>
      </c>
      <c r="E83" s="18" t="s">
        <v>225</v>
      </c>
      <c r="F83" s="18">
        <v>6</v>
      </c>
      <c r="G83" s="18">
        <v>1</v>
      </c>
      <c r="H83" s="18"/>
      <c r="I83" s="18"/>
      <c r="J83" s="18" t="s">
        <v>199</v>
      </c>
      <c r="K83" s="18" t="s">
        <v>200</v>
      </c>
      <c r="L83" s="8" t="s">
        <v>73</v>
      </c>
      <c r="M83" s="8" t="s">
        <v>74</v>
      </c>
    </row>
    <row r="84" spans="1:13">
      <c r="A84" s="18" t="s">
        <v>64</v>
      </c>
      <c r="B84" s="18" t="s">
        <v>257</v>
      </c>
      <c r="C84" s="18" t="s">
        <v>262</v>
      </c>
      <c r="D84" s="18">
        <v>1.3</v>
      </c>
      <c r="E84" s="18" t="s">
        <v>226</v>
      </c>
      <c r="F84" s="18">
        <v>3</v>
      </c>
      <c r="G84" s="18">
        <v>1</v>
      </c>
      <c r="H84" s="18"/>
      <c r="I84" s="18"/>
      <c r="J84" s="18" t="s">
        <v>199</v>
      </c>
      <c r="K84" s="18" t="s">
        <v>200</v>
      </c>
      <c r="L84" s="8" t="s">
        <v>114</v>
      </c>
      <c r="M84" s="8" t="s">
        <v>115</v>
      </c>
    </row>
    <row r="85" spans="1:13">
      <c r="A85" s="18" t="s">
        <v>64</v>
      </c>
      <c r="B85" s="18" t="s">
        <v>257</v>
      </c>
      <c r="C85" s="18" t="s">
        <v>262</v>
      </c>
      <c r="D85" s="18">
        <v>1.3</v>
      </c>
      <c r="E85" s="18" t="s">
        <v>227</v>
      </c>
      <c r="F85" s="18">
        <v>2</v>
      </c>
      <c r="G85" s="18">
        <v>1</v>
      </c>
      <c r="H85" s="18"/>
      <c r="I85" s="18"/>
      <c r="J85" s="18" t="s">
        <v>199</v>
      </c>
      <c r="K85" s="18" t="s">
        <v>200</v>
      </c>
      <c r="L85" s="8" t="s">
        <v>119</v>
      </c>
      <c r="M85" s="8" t="s">
        <v>120</v>
      </c>
    </row>
    <row r="86" spans="1:13">
      <c r="A86" s="18" t="s">
        <v>44</v>
      </c>
      <c r="B86" s="18" t="s">
        <v>257</v>
      </c>
      <c r="C86" s="18" t="s">
        <v>263</v>
      </c>
      <c r="D86" s="18">
        <v>1.4</v>
      </c>
      <c r="E86" s="18" t="s">
        <v>228</v>
      </c>
      <c r="F86" s="18">
        <v>83</v>
      </c>
      <c r="G86" s="18">
        <v>1</v>
      </c>
      <c r="H86" s="18"/>
      <c r="I86" s="18"/>
      <c r="J86" s="18" t="s">
        <v>199</v>
      </c>
      <c r="K86" s="18" t="s">
        <v>200</v>
      </c>
      <c r="L86" s="8" t="s">
        <v>26</v>
      </c>
      <c r="M86" s="8" t="s">
        <v>27</v>
      </c>
    </row>
    <row r="87" spans="1:13">
      <c r="A87" s="18" t="s">
        <v>44</v>
      </c>
      <c r="B87" s="18" t="s">
        <v>257</v>
      </c>
      <c r="C87" s="18" t="s">
        <v>263</v>
      </c>
      <c r="D87" s="18">
        <v>1.4</v>
      </c>
      <c r="E87" s="18" t="s">
        <v>128</v>
      </c>
      <c r="F87" s="18">
        <v>81</v>
      </c>
      <c r="G87" s="18">
        <v>1</v>
      </c>
      <c r="H87" s="18"/>
      <c r="I87" s="18"/>
      <c r="J87" s="18" t="s">
        <v>24</v>
      </c>
      <c r="K87" s="18" t="s">
        <v>25</v>
      </c>
      <c r="L87" s="8" t="s">
        <v>73</v>
      </c>
      <c r="M87" s="8" t="s">
        <v>74</v>
      </c>
    </row>
    <row r="88" spans="1:13">
      <c r="A88" s="18" t="s">
        <v>44</v>
      </c>
      <c r="B88" s="18" t="s">
        <v>257</v>
      </c>
      <c r="C88" s="18" t="s">
        <v>263</v>
      </c>
      <c r="D88" s="18">
        <v>1.4</v>
      </c>
      <c r="E88" s="18" t="s">
        <v>229</v>
      </c>
      <c r="F88" s="18">
        <v>73</v>
      </c>
      <c r="G88" s="18">
        <v>1</v>
      </c>
      <c r="H88" s="18"/>
      <c r="I88" s="18"/>
      <c r="J88" s="18" t="s">
        <v>199</v>
      </c>
      <c r="K88" s="18" t="s">
        <v>200</v>
      </c>
      <c r="L88" s="8" t="s">
        <v>110</v>
      </c>
      <c r="M88" s="8" t="s">
        <v>111</v>
      </c>
    </row>
    <row r="89" spans="1:13">
      <c r="A89" s="18" t="s">
        <v>44</v>
      </c>
      <c r="B89" s="18" t="s">
        <v>257</v>
      </c>
      <c r="C89" s="18" t="s">
        <v>263</v>
      </c>
      <c r="D89" s="18">
        <v>1.4</v>
      </c>
      <c r="E89" s="18" t="s">
        <v>125</v>
      </c>
      <c r="F89" s="18">
        <v>72</v>
      </c>
      <c r="G89" s="18">
        <v>1</v>
      </c>
      <c r="H89" s="18"/>
      <c r="I89" s="18"/>
      <c r="J89" s="18" t="s">
        <v>199</v>
      </c>
      <c r="K89" s="18" t="s">
        <v>200</v>
      </c>
      <c r="L89" s="8" t="s">
        <v>96</v>
      </c>
      <c r="M89" s="8" t="s">
        <v>97</v>
      </c>
    </row>
    <row r="90" spans="1:13">
      <c r="A90" s="18" t="s">
        <v>44</v>
      </c>
      <c r="B90" s="18" t="s">
        <v>257</v>
      </c>
      <c r="C90" s="18" t="s">
        <v>263</v>
      </c>
      <c r="D90" s="18">
        <v>1.4</v>
      </c>
      <c r="E90" s="18" t="s">
        <v>124</v>
      </c>
      <c r="F90" s="18">
        <v>69</v>
      </c>
      <c r="G90" s="18">
        <v>2</v>
      </c>
      <c r="H90" s="19">
        <v>83977</v>
      </c>
      <c r="I90" s="19" t="s">
        <v>32</v>
      </c>
      <c r="J90" s="18" t="s">
        <v>199</v>
      </c>
      <c r="K90" s="18" t="s">
        <v>203</v>
      </c>
      <c r="L90" s="8" t="s">
        <v>102</v>
      </c>
      <c r="M90" s="8" t="s">
        <v>103</v>
      </c>
    </row>
    <row r="91" spans="1:13">
      <c r="A91" s="18" t="s">
        <v>44</v>
      </c>
      <c r="B91" s="18" t="s">
        <v>257</v>
      </c>
      <c r="C91" s="18" t="s">
        <v>263</v>
      </c>
      <c r="D91" s="18">
        <v>1.4</v>
      </c>
      <c r="E91" s="18" t="s">
        <v>123</v>
      </c>
      <c r="F91" s="18">
        <v>68</v>
      </c>
      <c r="G91" s="18">
        <v>1</v>
      </c>
      <c r="H91" s="18"/>
      <c r="I91" s="18"/>
      <c r="J91" s="18" t="s">
        <v>24</v>
      </c>
      <c r="K91" s="18" t="s">
        <v>55</v>
      </c>
      <c r="L91" s="8" t="s">
        <v>110</v>
      </c>
      <c r="M91" s="8" t="s">
        <v>111</v>
      </c>
    </row>
    <row r="92" spans="1:13">
      <c r="A92" s="18" t="s">
        <v>44</v>
      </c>
      <c r="B92" s="18" t="s">
        <v>257</v>
      </c>
      <c r="C92" s="18" t="s">
        <v>263</v>
      </c>
      <c r="D92" s="18">
        <v>1.4</v>
      </c>
      <c r="E92" s="18" t="s">
        <v>122</v>
      </c>
      <c r="F92" s="18">
        <v>64</v>
      </c>
      <c r="G92" s="18">
        <v>1</v>
      </c>
      <c r="H92" s="18"/>
      <c r="I92" s="18"/>
      <c r="J92" s="18" t="s">
        <v>24</v>
      </c>
      <c r="K92" s="18" t="s">
        <v>25</v>
      </c>
      <c r="L92" s="8" t="s">
        <v>119</v>
      </c>
      <c r="M92" s="8" t="s">
        <v>120</v>
      </c>
    </row>
    <row r="93" spans="1:13">
      <c r="A93" s="18" t="s">
        <v>44</v>
      </c>
      <c r="B93" s="18" t="s">
        <v>257</v>
      </c>
      <c r="C93" s="18" t="s">
        <v>263</v>
      </c>
      <c r="D93" s="18">
        <v>1.4</v>
      </c>
      <c r="E93" s="18" t="s">
        <v>121</v>
      </c>
      <c r="F93" s="18">
        <v>63</v>
      </c>
      <c r="G93" s="18">
        <v>1</v>
      </c>
      <c r="H93" s="18"/>
      <c r="I93" s="18"/>
      <c r="J93" s="18" t="s">
        <v>24</v>
      </c>
      <c r="K93" s="18" t="s">
        <v>25</v>
      </c>
      <c r="L93" s="8" t="s">
        <v>119</v>
      </c>
      <c r="M93" s="8" t="s">
        <v>120</v>
      </c>
    </row>
    <row r="94" spans="1:13">
      <c r="A94" s="18" t="s">
        <v>44</v>
      </c>
      <c r="B94" s="18" t="s">
        <v>257</v>
      </c>
      <c r="C94" s="18" t="s">
        <v>263</v>
      </c>
      <c r="D94" s="18">
        <v>1.4</v>
      </c>
      <c r="E94" s="18" t="s">
        <v>117</v>
      </c>
      <c r="F94" s="18">
        <v>59</v>
      </c>
      <c r="G94" s="18">
        <v>2</v>
      </c>
      <c r="H94" s="19">
        <v>70881</v>
      </c>
      <c r="I94" s="19" t="s">
        <v>32</v>
      </c>
      <c r="J94" s="18" t="s">
        <v>199</v>
      </c>
      <c r="K94" s="18" t="s">
        <v>203</v>
      </c>
      <c r="L94" s="8" t="s">
        <v>102</v>
      </c>
      <c r="M94" s="8" t="s">
        <v>103</v>
      </c>
    </row>
    <row r="95" spans="1:13">
      <c r="A95" s="18" t="s">
        <v>44</v>
      </c>
      <c r="B95" s="18" t="s">
        <v>257</v>
      </c>
      <c r="C95" s="18" t="s">
        <v>263</v>
      </c>
      <c r="D95" s="18">
        <v>1.4</v>
      </c>
      <c r="E95" s="18" t="s">
        <v>116</v>
      </c>
      <c r="F95" s="18">
        <v>58</v>
      </c>
      <c r="G95" s="18">
        <v>1</v>
      </c>
      <c r="H95" s="18"/>
      <c r="I95" s="18"/>
      <c r="J95" s="18" t="s">
        <v>24</v>
      </c>
      <c r="K95" s="18" t="s">
        <v>25</v>
      </c>
      <c r="L95" s="8" t="s">
        <v>102</v>
      </c>
      <c r="M95" s="8" t="s">
        <v>103</v>
      </c>
    </row>
    <row r="96" spans="1:13">
      <c r="A96" s="18" t="s">
        <v>44</v>
      </c>
      <c r="B96" s="18" t="s">
        <v>257</v>
      </c>
      <c r="C96" s="18" t="s">
        <v>263</v>
      </c>
      <c r="D96" s="18">
        <v>1.4</v>
      </c>
      <c r="E96" s="18" t="s">
        <v>113</v>
      </c>
      <c r="F96" s="18">
        <v>57</v>
      </c>
      <c r="G96" s="18">
        <v>1</v>
      </c>
      <c r="H96" s="18"/>
      <c r="I96" s="18"/>
      <c r="J96" s="18" t="s">
        <v>24</v>
      </c>
      <c r="K96" s="18" t="s">
        <v>25</v>
      </c>
      <c r="L96" s="8" t="s">
        <v>114</v>
      </c>
      <c r="M96" s="8" t="s">
        <v>115</v>
      </c>
    </row>
    <row r="97" spans="1:13">
      <c r="A97" s="18" t="s">
        <v>44</v>
      </c>
      <c r="B97" s="18" t="s">
        <v>257</v>
      </c>
      <c r="C97" s="18" t="s">
        <v>263</v>
      </c>
      <c r="D97" s="18">
        <v>1.4</v>
      </c>
      <c r="E97" s="18" t="s">
        <v>231</v>
      </c>
      <c r="F97" s="18">
        <v>56</v>
      </c>
      <c r="G97" s="18">
        <v>1</v>
      </c>
      <c r="H97" s="18"/>
      <c r="I97" s="18"/>
      <c r="J97" s="18" t="s">
        <v>199</v>
      </c>
      <c r="K97" s="18" t="s">
        <v>200</v>
      </c>
      <c r="L97" s="8" t="s">
        <v>102</v>
      </c>
      <c r="M97" s="8" t="s">
        <v>103</v>
      </c>
    </row>
    <row r="98" spans="1:13">
      <c r="A98" s="18" t="s">
        <v>44</v>
      </c>
      <c r="B98" s="18" t="s">
        <v>257</v>
      </c>
      <c r="C98" s="18" t="s">
        <v>263</v>
      </c>
      <c r="D98" s="18">
        <v>1.4</v>
      </c>
      <c r="E98" s="18" t="s">
        <v>112</v>
      </c>
      <c r="F98" s="18">
        <v>53</v>
      </c>
      <c r="G98" s="18">
        <v>1</v>
      </c>
      <c r="H98" s="18"/>
      <c r="I98" s="18"/>
      <c r="J98" s="18" t="s">
        <v>199</v>
      </c>
      <c r="K98" s="18" t="s">
        <v>200</v>
      </c>
      <c r="L98" s="8" t="s">
        <v>86</v>
      </c>
      <c r="M98" s="8" t="s">
        <v>87</v>
      </c>
    </row>
    <row r="99" spans="1:13">
      <c r="A99" s="18" t="s">
        <v>44</v>
      </c>
      <c r="B99" s="18" t="s">
        <v>257</v>
      </c>
      <c r="C99" s="18" t="s">
        <v>263</v>
      </c>
      <c r="D99" s="18">
        <v>1.4</v>
      </c>
      <c r="E99" s="18" t="s">
        <v>232</v>
      </c>
      <c r="F99" s="18">
        <v>47</v>
      </c>
      <c r="G99" s="18">
        <v>2</v>
      </c>
      <c r="H99" s="19">
        <v>60281</v>
      </c>
      <c r="I99" s="19" t="s">
        <v>32</v>
      </c>
      <c r="J99" s="18" t="s">
        <v>199</v>
      </c>
      <c r="K99" s="18" t="s">
        <v>203</v>
      </c>
      <c r="L99" s="8" t="s">
        <v>102</v>
      </c>
      <c r="M99" s="8" t="s">
        <v>103</v>
      </c>
    </row>
    <row r="100" spans="1:13">
      <c r="A100" s="18" t="s">
        <v>44</v>
      </c>
      <c r="B100" s="18" t="s">
        <v>257</v>
      </c>
      <c r="C100" s="18" t="s">
        <v>263</v>
      </c>
      <c r="D100" s="18">
        <v>1.4</v>
      </c>
      <c r="E100" s="18" t="s">
        <v>107</v>
      </c>
      <c r="F100" s="18">
        <v>45</v>
      </c>
      <c r="G100" s="18">
        <v>1</v>
      </c>
      <c r="H100" s="18"/>
      <c r="I100" s="18"/>
      <c r="J100" s="18" t="s">
        <v>24</v>
      </c>
      <c r="K100" s="18" t="s">
        <v>55</v>
      </c>
      <c r="L100" s="8" t="s">
        <v>39</v>
      </c>
      <c r="M100" s="8" t="s">
        <v>40</v>
      </c>
    </row>
    <row r="101" spans="1:13">
      <c r="A101" s="18" t="s">
        <v>44</v>
      </c>
      <c r="B101" s="18" t="s">
        <v>257</v>
      </c>
      <c r="C101" s="18" t="s">
        <v>263</v>
      </c>
      <c r="D101" s="18">
        <v>1.4</v>
      </c>
      <c r="E101" s="18" t="s">
        <v>233</v>
      </c>
      <c r="F101" s="18">
        <v>43</v>
      </c>
      <c r="G101" s="18">
        <v>1</v>
      </c>
      <c r="H101" s="18"/>
      <c r="I101" s="18"/>
      <c r="J101" s="18" t="s">
        <v>199</v>
      </c>
      <c r="K101" s="18" t="s">
        <v>200</v>
      </c>
      <c r="L101" s="8" t="s">
        <v>67</v>
      </c>
      <c r="M101" s="8" t="s">
        <v>68</v>
      </c>
    </row>
    <row r="102" spans="1:13">
      <c r="A102" s="18" t="s">
        <v>44</v>
      </c>
      <c r="B102" s="18" t="s">
        <v>257</v>
      </c>
      <c r="C102" s="18" t="s">
        <v>263</v>
      </c>
      <c r="D102" s="18">
        <v>1.4</v>
      </c>
      <c r="E102" s="18" t="s">
        <v>99</v>
      </c>
      <c r="F102" s="18">
        <v>35</v>
      </c>
      <c r="G102" s="18">
        <v>1</v>
      </c>
      <c r="H102" s="19"/>
      <c r="I102" s="18"/>
      <c r="J102" s="18" t="s">
        <v>199</v>
      </c>
      <c r="K102" s="18" t="s">
        <v>200</v>
      </c>
      <c r="L102" s="8" t="s">
        <v>86</v>
      </c>
      <c r="M102" s="8" t="s">
        <v>87</v>
      </c>
    </row>
    <row r="103" spans="1:13">
      <c r="A103" s="18" t="s">
        <v>44</v>
      </c>
      <c r="B103" s="18" t="s">
        <v>257</v>
      </c>
      <c r="C103" s="18" t="s">
        <v>263</v>
      </c>
      <c r="D103" s="18">
        <v>1.4</v>
      </c>
      <c r="E103" s="18" t="s">
        <v>80</v>
      </c>
      <c r="F103" s="18">
        <v>20</v>
      </c>
      <c r="G103" s="18">
        <v>1</v>
      </c>
      <c r="H103" s="18"/>
      <c r="I103" s="18"/>
      <c r="J103" s="18" t="s">
        <v>24</v>
      </c>
      <c r="K103" s="18" t="s">
        <v>25</v>
      </c>
      <c r="L103" s="8" t="s">
        <v>81</v>
      </c>
      <c r="M103" s="8" t="s">
        <v>82</v>
      </c>
    </row>
    <row r="104" spans="1:13">
      <c r="A104" s="18" t="s">
        <v>44</v>
      </c>
      <c r="B104" s="18" t="s">
        <v>257</v>
      </c>
      <c r="C104" s="18" t="s">
        <v>263</v>
      </c>
      <c r="D104" s="18">
        <v>1.4</v>
      </c>
      <c r="E104" s="18" t="s">
        <v>47</v>
      </c>
      <c r="F104" s="18">
        <v>8</v>
      </c>
      <c r="G104" s="18">
        <v>2</v>
      </c>
      <c r="H104" s="19">
        <v>94084</v>
      </c>
      <c r="I104" s="19" t="s">
        <v>48</v>
      </c>
      <c r="J104" s="18" t="s">
        <v>24</v>
      </c>
      <c r="K104" s="18" t="s">
        <v>205</v>
      </c>
      <c r="L104" s="8" t="s">
        <v>49</v>
      </c>
      <c r="M104" s="8" t="s">
        <v>50</v>
      </c>
    </row>
    <row r="105" spans="1:13">
      <c r="A105" s="18" t="s">
        <v>44</v>
      </c>
      <c r="B105" s="18" t="s">
        <v>257</v>
      </c>
      <c r="C105" s="18" t="s">
        <v>263</v>
      </c>
      <c r="D105" s="18">
        <v>1.4</v>
      </c>
      <c r="E105" s="18" t="s">
        <v>234</v>
      </c>
      <c r="F105" s="18">
        <v>1</v>
      </c>
      <c r="G105" s="18">
        <v>1</v>
      </c>
      <c r="H105" s="18"/>
      <c r="I105" s="18"/>
      <c r="J105" s="18" t="s">
        <v>199</v>
      </c>
      <c r="K105" s="18" t="s">
        <v>200</v>
      </c>
      <c r="L105" s="8" t="s">
        <v>119</v>
      </c>
      <c r="M105" s="8" t="s">
        <v>120</v>
      </c>
    </row>
    <row r="106" spans="1:13">
      <c r="A106" s="18" t="s">
        <v>19</v>
      </c>
      <c r="B106" s="18" t="s">
        <v>264</v>
      </c>
      <c r="C106" s="18" t="s">
        <v>258</v>
      </c>
      <c r="D106" s="18">
        <v>2.1</v>
      </c>
      <c r="E106" s="18" t="s">
        <v>130</v>
      </c>
      <c r="F106" s="18">
        <v>88</v>
      </c>
      <c r="G106" s="18">
        <v>1</v>
      </c>
      <c r="H106" s="18"/>
      <c r="I106" s="18"/>
      <c r="J106" s="18" t="s">
        <v>199</v>
      </c>
      <c r="K106" s="18" t="s">
        <v>200</v>
      </c>
      <c r="L106" s="8" t="s">
        <v>49</v>
      </c>
      <c r="M106" s="8" t="s">
        <v>50</v>
      </c>
    </row>
    <row r="107" spans="1:13">
      <c r="A107" s="18" t="s">
        <v>19</v>
      </c>
      <c r="B107" s="18" t="s">
        <v>264</v>
      </c>
      <c r="C107" s="18" t="s">
        <v>258</v>
      </c>
      <c r="D107" s="18">
        <v>2.1</v>
      </c>
      <c r="E107" s="18" t="s">
        <v>129</v>
      </c>
      <c r="F107" s="18">
        <v>86</v>
      </c>
      <c r="G107" s="18">
        <v>2</v>
      </c>
      <c r="H107" s="18" t="s">
        <v>72</v>
      </c>
      <c r="I107" s="18" t="s">
        <v>48</v>
      </c>
      <c r="J107" s="18" t="s">
        <v>199</v>
      </c>
      <c r="K107" s="18" t="s">
        <v>203</v>
      </c>
      <c r="L107" s="8" t="s">
        <v>86</v>
      </c>
      <c r="M107" s="8" t="s">
        <v>87</v>
      </c>
    </row>
    <row r="108" spans="1:13">
      <c r="A108" s="18" t="s">
        <v>19</v>
      </c>
      <c r="B108" s="18" t="s">
        <v>264</v>
      </c>
      <c r="C108" s="18" t="s">
        <v>258</v>
      </c>
      <c r="D108" s="18">
        <v>2.1</v>
      </c>
      <c r="E108" s="18" t="s">
        <v>235</v>
      </c>
      <c r="F108" s="18">
        <v>85</v>
      </c>
      <c r="G108" s="18">
        <v>1</v>
      </c>
      <c r="H108" s="18"/>
      <c r="I108" s="18"/>
      <c r="J108" s="18" t="s">
        <v>199</v>
      </c>
      <c r="K108" s="18" t="s">
        <v>200</v>
      </c>
      <c r="L108" s="8" t="s">
        <v>86</v>
      </c>
      <c r="M108" s="8" t="s">
        <v>87</v>
      </c>
    </row>
    <row r="109" spans="1:13">
      <c r="A109" s="18" t="s">
        <v>19</v>
      </c>
      <c r="B109" s="18" t="s">
        <v>264</v>
      </c>
      <c r="C109" s="18" t="s">
        <v>258</v>
      </c>
      <c r="D109" s="18">
        <v>2.1</v>
      </c>
      <c r="E109" s="18" t="s">
        <v>236</v>
      </c>
      <c r="F109" s="18">
        <v>79</v>
      </c>
      <c r="G109" s="18">
        <v>1</v>
      </c>
      <c r="H109" s="18"/>
      <c r="I109" s="18"/>
      <c r="J109" s="18" t="s">
        <v>199</v>
      </c>
      <c r="K109" s="18" t="s">
        <v>200</v>
      </c>
      <c r="L109" s="8" t="s">
        <v>259</v>
      </c>
      <c r="M109" s="8" t="s">
        <v>260</v>
      </c>
    </row>
    <row r="110" spans="1:13">
      <c r="A110" s="18" t="s">
        <v>19</v>
      </c>
      <c r="B110" s="18" t="s">
        <v>264</v>
      </c>
      <c r="C110" s="18" t="s">
        <v>258</v>
      </c>
      <c r="D110" s="18">
        <v>2.1</v>
      </c>
      <c r="E110" s="18" t="s">
        <v>126</v>
      </c>
      <c r="F110" s="18">
        <v>77</v>
      </c>
      <c r="G110" s="18">
        <v>1</v>
      </c>
      <c r="H110" s="19"/>
      <c r="I110" s="19"/>
      <c r="J110" s="18" t="s">
        <v>199</v>
      </c>
      <c r="K110" s="18" t="s">
        <v>200</v>
      </c>
      <c r="L110" s="8" t="s">
        <v>96</v>
      </c>
      <c r="M110" s="8" t="s">
        <v>97</v>
      </c>
    </row>
    <row r="111" spans="1:13">
      <c r="A111" s="18" t="s">
        <v>19</v>
      </c>
      <c r="B111" s="18" t="s">
        <v>264</v>
      </c>
      <c r="C111" s="18" t="s">
        <v>258</v>
      </c>
      <c r="D111" s="18">
        <v>2.1</v>
      </c>
      <c r="E111" s="18" t="s">
        <v>125</v>
      </c>
      <c r="F111" s="18">
        <v>72</v>
      </c>
      <c r="G111" s="18">
        <v>2</v>
      </c>
      <c r="H111" s="19">
        <v>92751</v>
      </c>
      <c r="I111" s="19" t="s">
        <v>32</v>
      </c>
      <c r="J111" s="18" t="s">
        <v>199</v>
      </c>
      <c r="K111" s="18" t="s">
        <v>203</v>
      </c>
      <c r="L111" s="8" t="s">
        <v>96</v>
      </c>
      <c r="M111" s="8" t="s">
        <v>97</v>
      </c>
    </row>
    <row r="112" spans="1:13">
      <c r="A112" s="18" t="s">
        <v>19</v>
      </c>
      <c r="B112" s="18" t="s">
        <v>264</v>
      </c>
      <c r="C112" s="18" t="s">
        <v>258</v>
      </c>
      <c r="D112" s="18">
        <v>2.1</v>
      </c>
      <c r="E112" s="18" t="s">
        <v>124</v>
      </c>
      <c r="F112" s="18">
        <v>69</v>
      </c>
      <c r="G112" s="18">
        <v>2</v>
      </c>
      <c r="H112" s="18" t="s">
        <v>72</v>
      </c>
      <c r="I112" s="18" t="s">
        <v>48</v>
      </c>
      <c r="J112" s="18" t="s">
        <v>199</v>
      </c>
      <c r="K112" s="18" t="s">
        <v>203</v>
      </c>
      <c r="L112" s="8" t="s">
        <v>102</v>
      </c>
      <c r="M112" s="8" t="s">
        <v>103</v>
      </c>
    </row>
    <row r="113" spans="1:13">
      <c r="A113" s="18" t="s">
        <v>19</v>
      </c>
      <c r="B113" s="18" t="s">
        <v>264</v>
      </c>
      <c r="C113" s="18" t="s">
        <v>258</v>
      </c>
      <c r="D113" s="18">
        <v>2.1</v>
      </c>
      <c r="E113" s="18" t="s">
        <v>123</v>
      </c>
      <c r="F113" s="18">
        <v>68</v>
      </c>
      <c r="G113" s="18">
        <v>1</v>
      </c>
      <c r="H113" s="18"/>
      <c r="I113" s="18"/>
      <c r="J113" s="18" t="s">
        <v>24</v>
      </c>
      <c r="K113" s="18" t="s">
        <v>25</v>
      </c>
      <c r="L113" s="8" t="s">
        <v>110</v>
      </c>
      <c r="M113" s="8" t="s">
        <v>111</v>
      </c>
    </row>
    <row r="114" spans="1:13">
      <c r="A114" s="18" t="s">
        <v>19</v>
      </c>
      <c r="B114" s="18" t="s">
        <v>264</v>
      </c>
      <c r="C114" s="18" t="s">
        <v>258</v>
      </c>
      <c r="D114" s="18">
        <v>2.1</v>
      </c>
      <c r="E114" s="18" t="s">
        <v>122</v>
      </c>
      <c r="F114" s="18">
        <v>64</v>
      </c>
      <c r="G114" s="18">
        <v>1</v>
      </c>
      <c r="H114" s="19"/>
      <c r="I114" s="19"/>
      <c r="J114" s="18" t="s">
        <v>24</v>
      </c>
      <c r="K114" s="18" t="s">
        <v>55</v>
      </c>
      <c r="L114" s="8" t="s">
        <v>119</v>
      </c>
      <c r="M114" s="8" t="s">
        <v>120</v>
      </c>
    </row>
    <row r="115" spans="1:13">
      <c r="A115" s="18" t="s">
        <v>19</v>
      </c>
      <c r="B115" s="18" t="s">
        <v>264</v>
      </c>
      <c r="C115" s="18" t="s">
        <v>258</v>
      </c>
      <c r="D115" s="18">
        <v>2.1</v>
      </c>
      <c r="E115" s="18" t="s">
        <v>121</v>
      </c>
      <c r="F115" s="18">
        <v>63</v>
      </c>
      <c r="G115" s="18">
        <v>1</v>
      </c>
      <c r="H115" s="18"/>
      <c r="I115" s="18"/>
      <c r="J115" s="18" t="s">
        <v>24</v>
      </c>
      <c r="K115" s="18" t="s">
        <v>25</v>
      </c>
      <c r="L115" s="8" t="s">
        <v>119</v>
      </c>
      <c r="M115" s="8" t="s">
        <v>120</v>
      </c>
    </row>
    <row r="116" spans="1:13">
      <c r="A116" s="18" t="s">
        <v>19</v>
      </c>
      <c r="B116" s="18" t="s">
        <v>264</v>
      </c>
      <c r="C116" s="18" t="s">
        <v>258</v>
      </c>
      <c r="D116" s="18">
        <v>2.1</v>
      </c>
      <c r="E116" s="18" t="s">
        <v>204</v>
      </c>
      <c r="F116" s="18">
        <v>60</v>
      </c>
      <c r="G116" s="18">
        <v>2</v>
      </c>
      <c r="H116" s="18" t="s">
        <v>72</v>
      </c>
      <c r="I116" s="18" t="s">
        <v>48</v>
      </c>
      <c r="J116" s="18" t="s">
        <v>199</v>
      </c>
      <c r="K116" s="18" t="s">
        <v>203</v>
      </c>
      <c r="L116" s="8" t="s">
        <v>259</v>
      </c>
      <c r="M116" s="8" t="s">
        <v>260</v>
      </c>
    </row>
    <row r="117" spans="1:13">
      <c r="A117" s="18" t="s">
        <v>19</v>
      </c>
      <c r="B117" s="18" t="s">
        <v>264</v>
      </c>
      <c r="C117" s="18" t="s">
        <v>258</v>
      </c>
      <c r="D117" s="18">
        <v>2.1</v>
      </c>
      <c r="E117" s="18" t="s">
        <v>113</v>
      </c>
      <c r="F117" s="18">
        <v>57</v>
      </c>
      <c r="G117" s="18">
        <v>2</v>
      </c>
      <c r="H117" s="19">
        <v>30390</v>
      </c>
      <c r="I117" s="19" t="s">
        <v>48</v>
      </c>
      <c r="J117" s="18" t="s">
        <v>24</v>
      </c>
      <c r="K117" s="18" t="s">
        <v>205</v>
      </c>
      <c r="L117" s="8" t="s">
        <v>114</v>
      </c>
      <c r="M117" s="8" t="s">
        <v>115</v>
      </c>
    </row>
    <row r="118" spans="1:13">
      <c r="A118" s="18" t="s">
        <v>19</v>
      </c>
      <c r="B118" s="18" t="s">
        <v>264</v>
      </c>
      <c r="C118" s="18" t="s">
        <v>258</v>
      </c>
      <c r="D118" s="18">
        <v>2.1</v>
      </c>
      <c r="E118" s="18" t="s">
        <v>237</v>
      </c>
      <c r="F118" s="18">
        <v>55</v>
      </c>
      <c r="G118" s="18">
        <v>1</v>
      </c>
      <c r="H118" s="18"/>
      <c r="I118" s="18"/>
      <c r="J118" s="18" t="s">
        <v>199</v>
      </c>
      <c r="K118" s="18" t="s">
        <v>200</v>
      </c>
      <c r="L118" s="8" t="s">
        <v>114</v>
      </c>
      <c r="M118" s="8" t="s">
        <v>115</v>
      </c>
    </row>
    <row r="119" spans="1:13">
      <c r="A119" s="18" t="s">
        <v>19</v>
      </c>
      <c r="B119" s="18" t="s">
        <v>264</v>
      </c>
      <c r="C119" s="18" t="s">
        <v>258</v>
      </c>
      <c r="D119" s="18">
        <v>2.1</v>
      </c>
      <c r="E119" s="18" t="s">
        <v>238</v>
      </c>
      <c r="F119" s="18">
        <v>54</v>
      </c>
      <c r="G119" s="18">
        <v>2</v>
      </c>
      <c r="H119" s="19">
        <v>54182</v>
      </c>
      <c r="I119" s="19" t="s">
        <v>48</v>
      </c>
      <c r="J119" s="18" t="s">
        <v>199</v>
      </c>
      <c r="K119" s="18" t="s">
        <v>203</v>
      </c>
      <c r="L119" s="8" t="s">
        <v>86</v>
      </c>
      <c r="M119" s="8" t="s">
        <v>87</v>
      </c>
    </row>
    <row r="120" spans="1:13">
      <c r="A120" s="18" t="s">
        <v>19</v>
      </c>
      <c r="B120" s="18" t="s">
        <v>264</v>
      </c>
      <c r="C120" s="18" t="s">
        <v>258</v>
      </c>
      <c r="D120" s="18">
        <v>2.1</v>
      </c>
      <c r="E120" s="18" t="s">
        <v>239</v>
      </c>
      <c r="F120" s="18">
        <v>52</v>
      </c>
      <c r="G120" s="18">
        <v>1</v>
      </c>
      <c r="H120" s="18"/>
      <c r="I120" s="18"/>
      <c r="J120" s="18" t="s">
        <v>199</v>
      </c>
      <c r="K120" s="18" t="s">
        <v>200</v>
      </c>
      <c r="L120" s="8" t="s">
        <v>114</v>
      </c>
      <c r="M120" s="8" t="s">
        <v>115</v>
      </c>
    </row>
    <row r="121" spans="1:13">
      <c r="A121" s="18" t="s">
        <v>19</v>
      </c>
      <c r="B121" s="18" t="s">
        <v>264</v>
      </c>
      <c r="C121" s="18" t="s">
        <v>258</v>
      </c>
      <c r="D121" s="18">
        <v>2.1</v>
      </c>
      <c r="E121" s="18" t="s">
        <v>108</v>
      </c>
      <c r="F121" s="18">
        <v>46</v>
      </c>
      <c r="G121" s="18">
        <v>1</v>
      </c>
      <c r="H121" s="18"/>
      <c r="I121" s="18"/>
      <c r="J121" s="18" t="s">
        <v>199</v>
      </c>
      <c r="K121" s="18" t="s">
        <v>200</v>
      </c>
      <c r="L121" s="8" t="s">
        <v>81</v>
      </c>
      <c r="M121" s="8" t="s">
        <v>82</v>
      </c>
    </row>
    <row r="122" spans="1:13">
      <c r="A122" s="18" t="s">
        <v>19</v>
      </c>
      <c r="B122" s="18" t="s">
        <v>264</v>
      </c>
      <c r="C122" s="18" t="s">
        <v>258</v>
      </c>
      <c r="D122" s="18">
        <v>2.1</v>
      </c>
      <c r="E122" s="18" t="s">
        <v>107</v>
      </c>
      <c r="F122" s="18">
        <v>45</v>
      </c>
      <c r="G122" s="18">
        <v>1</v>
      </c>
      <c r="H122" s="19"/>
      <c r="I122" s="18"/>
      <c r="J122" s="18" t="s">
        <v>199</v>
      </c>
      <c r="K122" s="18" t="s">
        <v>200</v>
      </c>
      <c r="L122" s="8" t="s">
        <v>39</v>
      </c>
      <c r="M122" s="8" t="s">
        <v>40</v>
      </c>
    </row>
    <row r="123" spans="1:13">
      <c r="A123" s="18" t="s">
        <v>19</v>
      </c>
      <c r="B123" s="18" t="s">
        <v>264</v>
      </c>
      <c r="C123" s="18" t="s">
        <v>258</v>
      </c>
      <c r="D123" s="18">
        <v>2.1</v>
      </c>
      <c r="E123" s="18" t="s">
        <v>106</v>
      </c>
      <c r="F123" s="18">
        <v>42</v>
      </c>
      <c r="G123" s="18">
        <v>2</v>
      </c>
      <c r="H123" s="18" t="s">
        <v>72</v>
      </c>
      <c r="I123" s="18" t="s">
        <v>48</v>
      </c>
      <c r="J123" s="18" t="s">
        <v>24</v>
      </c>
      <c r="K123" s="18" t="s">
        <v>205</v>
      </c>
      <c r="L123" s="8" t="s">
        <v>67</v>
      </c>
      <c r="M123" s="8" t="s">
        <v>68</v>
      </c>
    </row>
    <row r="124" spans="1:13">
      <c r="A124" s="18" t="s">
        <v>19</v>
      </c>
      <c r="B124" s="18" t="s">
        <v>264</v>
      </c>
      <c r="C124" s="18" t="s">
        <v>258</v>
      </c>
      <c r="D124" s="18">
        <v>2.1</v>
      </c>
      <c r="E124" s="18" t="s">
        <v>104</v>
      </c>
      <c r="F124" s="18">
        <v>39</v>
      </c>
      <c r="G124" s="18">
        <v>2</v>
      </c>
      <c r="H124" s="19">
        <v>67871</v>
      </c>
      <c r="I124" s="19" t="s">
        <v>32</v>
      </c>
      <c r="J124" s="18" t="s">
        <v>199</v>
      </c>
      <c r="K124" s="18" t="s">
        <v>203</v>
      </c>
      <c r="L124" s="8" t="s">
        <v>73</v>
      </c>
      <c r="M124" s="8" t="s">
        <v>74</v>
      </c>
    </row>
    <row r="125" spans="1:13">
      <c r="A125" s="18" t="s">
        <v>19</v>
      </c>
      <c r="B125" s="18" t="s">
        <v>264</v>
      </c>
      <c r="C125" s="18" t="s">
        <v>258</v>
      </c>
      <c r="D125" s="18">
        <v>2.1</v>
      </c>
      <c r="E125" s="18" t="s">
        <v>101</v>
      </c>
      <c r="F125" s="18">
        <v>37</v>
      </c>
      <c r="G125" s="18">
        <v>1</v>
      </c>
      <c r="H125" s="18"/>
      <c r="I125" s="18"/>
      <c r="J125" s="18" t="s">
        <v>24</v>
      </c>
      <c r="K125" s="18" t="s">
        <v>55</v>
      </c>
      <c r="L125" s="8" t="s">
        <v>102</v>
      </c>
      <c r="M125" s="8" t="s">
        <v>103</v>
      </c>
    </row>
    <row r="126" spans="1:13">
      <c r="A126" s="18" t="s">
        <v>19</v>
      </c>
      <c r="B126" s="18" t="s">
        <v>264</v>
      </c>
      <c r="C126" s="18" t="s">
        <v>258</v>
      </c>
      <c r="D126" s="18">
        <v>2.1</v>
      </c>
      <c r="E126" s="18" t="s">
        <v>100</v>
      </c>
      <c r="F126" s="18">
        <v>36</v>
      </c>
      <c r="G126" s="18">
        <v>1</v>
      </c>
      <c r="H126" s="18"/>
      <c r="I126" s="18"/>
      <c r="J126" s="18" t="s">
        <v>24</v>
      </c>
      <c r="K126" s="18" t="s">
        <v>55</v>
      </c>
      <c r="L126" s="8" t="s">
        <v>26</v>
      </c>
      <c r="M126" s="8" t="s">
        <v>27</v>
      </c>
    </row>
    <row r="127" spans="1:13">
      <c r="A127" s="18" t="s">
        <v>19</v>
      </c>
      <c r="B127" s="18" t="s">
        <v>264</v>
      </c>
      <c r="C127" s="18" t="s">
        <v>258</v>
      </c>
      <c r="D127" s="18">
        <v>2.1</v>
      </c>
      <c r="E127" s="18" t="s">
        <v>95</v>
      </c>
      <c r="F127" s="18">
        <v>33</v>
      </c>
      <c r="G127" s="18">
        <v>2</v>
      </c>
      <c r="H127" s="18" t="s">
        <v>72</v>
      </c>
      <c r="I127" s="18" t="s">
        <v>48</v>
      </c>
      <c r="J127" s="18" t="s">
        <v>24</v>
      </c>
      <c r="K127" s="18" t="s">
        <v>205</v>
      </c>
      <c r="L127" s="8" t="s">
        <v>96</v>
      </c>
      <c r="M127" s="8" t="s">
        <v>97</v>
      </c>
    </row>
    <row r="128" spans="1:13">
      <c r="A128" s="18" t="s">
        <v>19</v>
      </c>
      <c r="B128" s="18" t="s">
        <v>264</v>
      </c>
      <c r="C128" s="18" t="s">
        <v>258</v>
      </c>
      <c r="D128" s="18">
        <v>2.1</v>
      </c>
      <c r="E128" s="18" t="s">
        <v>240</v>
      </c>
      <c r="F128" s="18">
        <v>31</v>
      </c>
      <c r="G128" s="18">
        <v>1</v>
      </c>
      <c r="H128" s="18"/>
      <c r="I128" s="18"/>
      <c r="J128" s="18" t="s">
        <v>199</v>
      </c>
      <c r="K128" s="18" t="s">
        <v>200</v>
      </c>
      <c r="L128" s="8" t="s">
        <v>73</v>
      </c>
      <c r="M128" s="8" t="s">
        <v>74</v>
      </c>
    </row>
    <row r="129" spans="1:13">
      <c r="A129" s="18" t="s">
        <v>19</v>
      </c>
      <c r="B129" s="18" t="s">
        <v>264</v>
      </c>
      <c r="C129" s="18" t="s">
        <v>258</v>
      </c>
      <c r="D129" s="18">
        <v>2.1</v>
      </c>
      <c r="E129" s="18" t="s">
        <v>241</v>
      </c>
      <c r="F129" s="18">
        <v>29</v>
      </c>
      <c r="G129" s="18">
        <v>1</v>
      </c>
      <c r="H129" s="18"/>
      <c r="I129" s="18"/>
      <c r="J129" s="18" t="s">
        <v>199</v>
      </c>
      <c r="K129" s="18" t="s">
        <v>200</v>
      </c>
      <c r="L129" s="8" t="s">
        <v>39</v>
      </c>
      <c r="M129" s="8" t="s">
        <v>40</v>
      </c>
    </row>
    <row r="130" spans="1:13">
      <c r="A130" s="18" t="s">
        <v>19</v>
      </c>
      <c r="B130" s="18" t="s">
        <v>264</v>
      </c>
      <c r="C130" s="18" t="s">
        <v>258</v>
      </c>
      <c r="D130" s="18">
        <v>2.1</v>
      </c>
      <c r="E130" s="18" t="s">
        <v>93</v>
      </c>
      <c r="F130" s="18">
        <v>27</v>
      </c>
      <c r="G130" s="18">
        <v>1</v>
      </c>
      <c r="H130" s="18"/>
      <c r="I130" s="18"/>
      <c r="J130" s="18" t="s">
        <v>24</v>
      </c>
      <c r="K130" s="18" t="s">
        <v>25</v>
      </c>
      <c r="L130" s="8" t="s">
        <v>39</v>
      </c>
      <c r="M130" s="8" t="s">
        <v>40</v>
      </c>
    </row>
    <row r="131" spans="1:13">
      <c r="A131" s="18" t="s">
        <v>19</v>
      </c>
      <c r="B131" s="18" t="s">
        <v>264</v>
      </c>
      <c r="C131" s="18" t="s">
        <v>258</v>
      </c>
      <c r="D131" s="18">
        <v>2.1</v>
      </c>
      <c r="E131" s="18" t="s">
        <v>242</v>
      </c>
      <c r="F131" s="18">
        <v>25</v>
      </c>
      <c r="G131" s="18">
        <v>1</v>
      </c>
      <c r="H131" s="18"/>
      <c r="I131" s="18"/>
      <c r="J131" s="18" t="s">
        <v>199</v>
      </c>
      <c r="K131" s="18" t="s">
        <v>200</v>
      </c>
      <c r="L131" s="8" t="s">
        <v>102</v>
      </c>
      <c r="M131" s="8" t="s">
        <v>103</v>
      </c>
    </row>
    <row r="132" spans="1:13">
      <c r="A132" s="18" t="s">
        <v>19</v>
      </c>
      <c r="B132" s="18" t="s">
        <v>264</v>
      </c>
      <c r="C132" s="18" t="s">
        <v>258</v>
      </c>
      <c r="D132" s="18">
        <v>2.1</v>
      </c>
      <c r="E132" s="18" t="s">
        <v>85</v>
      </c>
      <c r="F132" s="18">
        <v>22</v>
      </c>
      <c r="G132" s="18">
        <v>1</v>
      </c>
      <c r="H132" s="18"/>
      <c r="I132" s="18"/>
      <c r="J132" s="18" t="s">
        <v>199</v>
      </c>
      <c r="K132" s="18" t="s">
        <v>200</v>
      </c>
      <c r="L132" s="8" t="s">
        <v>86</v>
      </c>
      <c r="M132" s="8" t="s">
        <v>87</v>
      </c>
    </row>
    <row r="133" spans="1:13">
      <c r="A133" s="18" t="s">
        <v>19</v>
      </c>
      <c r="B133" s="18" t="s">
        <v>264</v>
      </c>
      <c r="C133" s="18" t="s">
        <v>258</v>
      </c>
      <c r="D133" s="18">
        <v>2.1</v>
      </c>
      <c r="E133" s="18" t="s">
        <v>243</v>
      </c>
      <c r="F133" s="18">
        <v>18</v>
      </c>
      <c r="G133" s="18">
        <v>1</v>
      </c>
      <c r="H133" s="18"/>
      <c r="I133" s="18"/>
      <c r="J133" s="18" t="s">
        <v>199</v>
      </c>
      <c r="K133" s="18" t="s">
        <v>200</v>
      </c>
      <c r="L133" s="8" t="s">
        <v>114</v>
      </c>
      <c r="M133" s="8" t="s">
        <v>115</v>
      </c>
    </row>
    <row r="134" spans="1:13">
      <c r="A134" s="18" t="s">
        <v>19</v>
      </c>
      <c r="B134" s="18" t="s">
        <v>264</v>
      </c>
      <c r="C134" s="18" t="s">
        <v>258</v>
      </c>
      <c r="D134" s="18">
        <v>2.1</v>
      </c>
      <c r="E134" s="18" t="s">
        <v>211</v>
      </c>
      <c r="F134" s="18">
        <v>17</v>
      </c>
      <c r="G134" s="18">
        <v>1</v>
      </c>
      <c r="H134" s="18"/>
      <c r="I134" s="18"/>
      <c r="J134" s="18" t="s">
        <v>199</v>
      </c>
      <c r="K134" s="18" t="s">
        <v>200</v>
      </c>
      <c r="L134" s="8" t="s">
        <v>86</v>
      </c>
      <c r="M134" s="8" t="s">
        <v>87</v>
      </c>
    </row>
    <row r="135" spans="1:13">
      <c r="A135" s="18" t="s">
        <v>19</v>
      </c>
      <c r="B135" s="18" t="s">
        <v>264</v>
      </c>
      <c r="C135" s="18" t="s">
        <v>258</v>
      </c>
      <c r="D135" s="18">
        <v>2.1</v>
      </c>
      <c r="E135" s="18" t="s">
        <v>58</v>
      </c>
      <c r="F135" s="18">
        <v>9</v>
      </c>
      <c r="G135" s="18">
        <v>1</v>
      </c>
      <c r="H135" s="18"/>
      <c r="I135" s="18"/>
      <c r="J135" s="18" t="s">
        <v>24</v>
      </c>
      <c r="K135" s="18" t="s">
        <v>25</v>
      </c>
      <c r="L135" s="8" t="s">
        <v>49</v>
      </c>
      <c r="M135" s="8" t="s">
        <v>50</v>
      </c>
    </row>
    <row r="136" spans="1:13">
      <c r="A136" s="18" t="s">
        <v>19</v>
      </c>
      <c r="B136" s="18" t="s">
        <v>264</v>
      </c>
      <c r="C136" s="18" t="s">
        <v>258</v>
      </c>
      <c r="D136" s="18">
        <v>2.1</v>
      </c>
      <c r="E136" s="18" t="s">
        <v>23</v>
      </c>
      <c r="F136" s="18">
        <v>4</v>
      </c>
      <c r="G136" s="18">
        <v>1</v>
      </c>
      <c r="H136" s="18"/>
      <c r="I136" s="18"/>
      <c r="J136" s="18" t="s">
        <v>24</v>
      </c>
      <c r="K136" s="18" t="s">
        <v>25</v>
      </c>
      <c r="L136" s="8" t="s">
        <v>26</v>
      </c>
      <c r="M136" s="8" t="s">
        <v>27</v>
      </c>
    </row>
    <row r="137" spans="1:13">
      <c r="A137" s="18" t="s">
        <v>69</v>
      </c>
      <c r="B137" s="18" t="s">
        <v>264</v>
      </c>
      <c r="C137" s="18" t="s">
        <v>261</v>
      </c>
      <c r="D137" s="18">
        <v>2.2</v>
      </c>
      <c r="E137" s="18" t="s">
        <v>131</v>
      </c>
      <c r="F137" s="18">
        <v>89</v>
      </c>
      <c r="G137" s="18">
        <v>1</v>
      </c>
      <c r="H137" s="18"/>
      <c r="I137" s="18"/>
      <c r="J137" s="18" t="s">
        <v>24</v>
      </c>
      <c r="K137" s="18" t="s">
        <v>55</v>
      </c>
      <c r="L137" s="8" t="s">
        <v>26</v>
      </c>
      <c r="M137" s="8" t="s">
        <v>27</v>
      </c>
    </row>
    <row r="138" spans="1:13">
      <c r="A138" s="18" t="s">
        <v>69</v>
      </c>
      <c r="B138" s="18" t="s">
        <v>264</v>
      </c>
      <c r="C138" s="18" t="s">
        <v>261</v>
      </c>
      <c r="D138" s="18">
        <v>2.2</v>
      </c>
      <c r="E138" s="18" t="s">
        <v>130</v>
      </c>
      <c r="F138" s="18">
        <v>88</v>
      </c>
      <c r="G138" s="18">
        <v>2</v>
      </c>
      <c r="H138" s="18" t="s">
        <v>72</v>
      </c>
      <c r="I138" s="18" t="s">
        <v>48</v>
      </c>
      <c r="J138" s="18" t="s">
        <v>199</v>
      </c>
      <c r="K138" s="18" t="s">
        <v>203</v>
      </c>
      <c r="L138" s="8" t="s">
        <v>49</v>
      </c>
      <c r="M138" s="8" t="s">
        <v>50</v>
      </c>
    </row>
    <row r="139" spans="1:13">
      <c r="A139" s="18" t="s">
        <v>69</v>
      </c>
      <c r="B139" s="18" t="s">
        <v>264</v>
      </c>
      <c r="C139" s="18" t="s">
        <v>261</v>
      </c>
      <c r="D139" s="18">
        <v>2.2</v>
      </c>
      <c r="E139" s="18" t="s">
        <v>129</v>
      </c>
      <c r="F139" s="18">
        <v>86</v>
      </c>
      <c r="G139" s="18">
        <v>1</v>
      </c>
      <c r="H139" s="18"/>
      <c r="I139" s="18"/>
      <c r="J139" s="18" t="s">
        <v>199</v>
      </c>
      <c r="K139" s="18" t="s">
        <v>200</v>
      </c>
      <c r="L139" s="8" t="s">
        <v>86</v>
      </c>
      <c r="M139" s="8" t="s">
        <v>87</v>
      </c>
    </row>
    <row r="140" spans="1:13">
      <c r="A140" s="18" t="s">
        <v>69</v>
      </c>
      <c r="B140" s="18" t="s">
        <v>264</v>
      </c>
      <c r="C140" s="18" t="s">
        <v>261</v>
      </c>
      <c r="D140" s="18">
        <v>2.2</v>
      </c>
      <c r="E140" s="18" t="s">
        <v>244</v>
      </c>
      <c r="F140" s="18">
        <v>82</v>
      </c>
      <c r="G140" s="18">
        <v>1</v>
      </c>
      <c r="H140" s="18"/>
      <c r="I140" s="18"/>
      <c r="J140" s="18" t="s">
        <v>199</v>
      </c>
      <c r="K140" s="18" t="s">
        <v>200</v>
      </c>
      <c r="L140" s="8" t="s">
        <v>73</v>
      </c>
      <c r="M140" s="8" t="s">
        <v>74</v>
      </c>
    </row>
    <row r="141" spans="1:13">
      <c r="A141" s="18" t="s">
        <v>69</v>
      </c>
      <c r="B141" s="18" t="s">
        <v>264</v>
      </c>
      <c r="C141" s="18" t="s">
        <v>261</v>
      </c>
      <c r="D141" s="18">
        <v>2.2</v>
      </c>
      <c r="E141" s="18" t="s">
        <v>127</v>
      </c>
      <c r="F141" s="18">
        <v>78</v>
      </c>
      <c r="G141" s="18">
        <v>1</v>
      </c>
      <c r="H141" s="19"/>
      <c r="I141" s="19"/>
      <c r="J141" s="18" t="s">
        <v>199</v>
      </c>
      <c r="K141" s="18" t="s">
        <v>200</v>
      </c>
      <c r="L141" s="8" t="s">
        <v>114</v>
      </c>
      <c r="M141" s="8" t="s">
        <v>115</v>
      </c>
    </row>
    <row r="142" spans="1:13">
      <c r="A142" s="18" t="s">
        <v>69</v>
      </c>
      <c r="B142" s="18" t="s">
        <v>264</v>
      </c>
      <c r="C142" s="18" t="s">
        <v>261</v>
      </c>
      <c r="D142" s="18">
        <v>2.2</v>
      </c>
      <c r="E142" s="18" t="s">
        <v>126</v>
      </c>
      <c r="F142" s="18">
        <v>77</v>
      </c>
      <c r="G142" s="18">
        <v>2</v>
      </c>
      <c r="H142" s="19" t="s">
        <v>72</v>
      </c>
      <c r="I142" s="19" t="s">
        <v>48</v>
      </c>
      <c r="J142" s="18" t="s">
        <v>24</v>
      </c>
      <c r="K142" s="18" t="s">
        <v>205</v>
      </c>
      <c r="L142" s="8" t="s">
        <v>96</v>
      </c>
      <c r="M142" s="8" t="s">
        <v>97</v>
      </c>
    </row>
    <row r="143" spans="1:13">
      <c r="A143" s="18" t="s">
        <v>69</v>
      </c>
      <c r="B143" s="18" t="s">
        <v>264</v>
      </c>
      <c r="C143" s="18" t="s">
        <v>261</v>
      </c>
      <c r="D143" s="18">
        <v>2.2</v>
      </c>
      <c r="E143" s="18" t="s">
        <v>208</v>
      </c>
      <c r="F143" s="18">
        <v>74</v>
      </c>
      <c r="G143" s="18">
        <v>1</v>
      </c>
      <c r="H143" s="18"/>
      <c r="I143" s="18"/>
      <c r="J143" s="18" t="s">
        <v>199</v>
      </c>
      <c r="K143" s="18" t="s">
        <v>200</v>
      </c>
      <c r="L143" s="8" t="s">
        <v>81</v>
      </c>
      <c r="M143" s="8" t="s">
        <v>82</v>
      </c>
    </row>
    <row r="144" spans="1:13">
      <c r="A144" s="18" t="s">
        <v>69</v>
      </c>
      <c r="B144" s="18" t="s">
        <v>264</v>
      </c>
      <c r="C144" s="18" t="s">
        <v>261</v>
      </c>
      <c r="D144" s="18">
        <v>2.2</v>
      </c>
      <c r="E144" s="18" t="s">
        <v>207</v>
      </c>
      <c r="F144" s="18">
        <v>71</v>
      </c>
      <c r="G144" s="18">
        <v>1</v>
      </c>
      <c r="H144" s="18"/>
      <c r="I144" s="18"/>
      <c r="J144" s="18" t="s">
        <v>199</v>
      </c>
      <c r="K144" s="18" t="s">
        <v>200</v>
      </c>
      <c r="L144" s="8" t="s">
        <v>114</v>
      </c>
      <c r="M144" s="8" t="s">
        <v>115</v>
      </c>
    </row>
    <row r="145" spans="1:13">
      <c r="A145" s="18" t="s">
        <v>69</v>
      </c>
      <c r="B145" s="18" t="s">
        <v>264</v>
      </c>
      <c r="C145" s="18" t="s">
        <v>261</v>
      </c>
      <c r="D145" s="18">
        <v>2.2</v>
      </c>
      <c r="E145" s="18" t="s">
        <v>123</v>
      </c>
      <c r="F145" s="18">
        <v>68</v>
      </c>
      <c r="G145" s="18">
        <v>1</v>
      </c>
      <c r="H145" s="18"/>
      <c r="I145" s="18"/>
      <c r="J145" s="18" t="s">
        <v>199</v>
      </c>
      <c r="K145" s="18" t="s">
        <v>200</v>
      </c>
      <c r="L145" s="8" t="s">
        <v>110</v>
      </c>
      <c r="M145" s="8" t="s">
        <v>111</v>
      </c>
    </row>
    <row r="146" spans="1:13">
      <c r="A146" s="18" t="s">
        <v>69</v>
      </c>
      <c r="B146" s="18" t="s">
        <v>264</v>
      </c>
      <c r="C146" s="18" t="s">
        <v>261</v>
      </c>
      <c r="D146" s="18">
        <v>2.2</v>
      </c>
      <c r="E146" s="18" t="s">
        <v>246</v>
      </c>
      <c r="F146" s="18">
        <v>65</v>
      </c>
      <c r="G146" s="18">
        <v>1</v>
      </c>
      <c r="H146" s="18"/>
      <c r="I146" s="18"/>
      <c r="J146" s="18" t="s">
        <v>199</v>
      </c>
      <c r="K146" s="18" t="s">
        <v>200</v>
      </c>
      <c r="L146" s="8" t="s">
        <v>102</v>
      </c>
      <c r="M146" s="8" t="s">
        <v>103</v>
      </c>
    </row>
    <row r="147" spans="1:13">
      <c r="A147" s="18" t="s">
        <v>69</v>
      </c>
      <c r="B147" s="18" t="s">
        <v>264</v>
      </c>
      <c r="C147" s="18" t="s">
        <v>261</v>
      </c>
      <c r="D147" s="18">
        <v>2.2</v>
      </c>
      <c r="E147" s="18" t="s">
        <v>122</v>
      </c>
      <c r="F147" s="18">
        <v>64</v>
      </c>
      <c r="G147" s="18">
        <v>1</v>
      </c>
      <c r="H147" s="19"/>
      <c r="I147" s="19"/>
      <c r="J147" s="18" t="s">
        <v>24</v>
      </c>
      <c r="K147" s="18" t="s">
        <v>25</v>
      </c>
      <c r="L147" s="8" t="s">
        <v>119</v>
      </c>
      <c r="M147" s="8" t="s">
        <v>120</v>
      </c>
    </row>
    <row r="148" spans="1:13">
      <c r="A148" s="18" t="s">
        <v>69</v>
      </c>
      <c r="B148" s="18" t="s">
        <v>264</v>
      </c>
      <c r="C148" s="18" t="s">
        <v>261</v>
      </c>
      <c r="D148" s="18">
        <v>2.2</v>
      </c>
      <c r="E148" s="18" t="s">
        <v>121</v>
      </c>
      <c r="F148" s="18">
        <v>63</v>
      </c>
      <c r="G148" s="18">
        <v>2</v>
      </c>
      <c r="H148" s="19">
        <v>78948</v>
      </c>
      <c r="I148" s="19" t="s">
        <v>48</v>
      </c>
      <c r="J148" s="18" t="s">
        <v>199</v>
      </c>
      <c r="K148" s="18" t="s">
        <v>203</v>
      </c>
      <c r="L148" s="8" t="s">
        <v>119</v>
      </c>
      <c r="M148" s="8" t="s">
        <v>120</v>
      </c>
    </row>
    <row r="149" spans="1:13">
      <c r="A149" s="18" t="s">
        <v>69</v>
      </c>
      <c r="B149" s="18" t="s">
        <v>264</v>
      </c>
      <c r="C149" s="18" t="s">
        <v>261</v>
      </c>
      <c r="D149" s="18">
        <v>2.2</v>
      </c>
      <c r="E149" s="18" t="s">
        <v>118</v>
      </c>
      <c r="F149" s="18">
        <v>62</v>
      </c>
      <c r="G149" s="18">
        <v>1</v>
      </c>
      <c r="H149" s="19"/>
      <c r="I149" s="19"/>
      <c r="J149" s="18" t="s">
        <v>199</v>
      </c>
      <c r="K149" s="18" t="s">
        <v>200</v>
      </c>
      <c r="L149" s="8" t="s">
        <v>119</v>
      </c>
      <c r="M149" s="8" t="s">
        <v>120</v>
      </c>
    </row>
    <row r="150" spans="1:13">
      <c r="A150" s="18" t="s">
        <v>69</v>
      </c>
      <c r="B150" s="18" t="s">
        <v>264</v>
      </c>
      <c r="C150" s="18" t="s">
        <v>261</v>
      </c>
      <c r="D150" s="18">
        <v>2.2</v>
      </c>
      <c r="E150" s="18" t="s">
        <v>117</v>
      </c>
      <c r="F150" s="18">
        <v>59</v>
      </c>
      <c r="G150" s="18">
        <v>1</v>
      </c>
      <c r="H150" s="18"/>
      <c r="I150" s="18"/>
      <c r="J150" s="18" t="s">
        <v>199</v>
      </c>
      <c r="K150" s="18" t="s">
        <v>200</v>
      </c>
      <c r="L150" s="8" t="s">
        <v>102</v>
      </c>
      <c r="M150" s="8" t="s">
        <v>103</v>
      </c>
    </row>
    <row r="151" spans="1:13">
      <c r="A151" s="18" t="s">
        <v>69</v>
      </c>
      <c r="B151" s="18" t="s">
        <v>264</v>
      </c>
      <c r="C151" s="18" t="s">
        <v>261</v>
      </c>
      <c r="D151" s="18">
        <v>2.2</v>
      </c>
      <c r="E151" s="18" t="s">
        <v>116</v>
      </c>
      <c r="F151" s="18">
        <v>58</v>
      </c>
      <c r="G151" s="18">
        <v>1</v>
      </c>
      <c r="H151" s="18"/>
      <c r="I151" s="18"/>
      <c r="J151" s="18" t="s">
        <v>199</v>
      </c>
      <c r="K151" s="18" t="s">
        <v>200</v>
      </c>
      <c r="L151" s="8" t="s">
        <v>102</v>
      </c>
      <c r="M151" s="8" t="s">
        <v>103</v>
      </c>
    </row>
    <row r="152" spans="1:13">
      <c r="A152" s="18" t="s">
        <v>69</v>
      </c>
      <c r="B152" s="18" t="s">
        <v>264</v>
      </c>
      <c r="C152" s="18" t="s">
        <v>261</v>
      </c>
      <c r="D152" s="18">
        <v>2.2</v>
      </c>
      <c r="E152" s="18" t="s">
        <v>113</v>
      </c>
      <c r="F152" s="18">
        <v>57</v>
      </c>
      <c r="G152" s="18">
        <v>1</v>
      </c>
      <c r="H152" s="19"/>
      <c r="I152" s="18"/>
      <c r="J152" s="18" t="s">
        <v>24</v>
      </c>
      <c r="K152" s="18" t="s">
        <v>25</v>
      </c>
      <c r="L152" s="8" t="s">
        <v>114</v>
      </c>
      <c r="M152" s="8" t="s">
        <v>115</v>
      </c>
    </row>
    <row r="153" spans="1:13">
      <c r="A153" s="18" t="s">
        <v>69</v>
      </c>
      <c r="B153" s="18" t="s">
        <v>264</v>
      </c>
      <c r="C153" s="18" t="s">
        <v>261</v>
      </c>
      <c r="D153" s="18">
        <v>2.2</v>
      </c>
      <c r="E153" s="18" t="s">
        <v>223</v>
      </c>
      <c r="F153" s="18">
        <v>48</v>
      </c>
      <c r="G153" s="18">
        <v>2</v>
      </c>
      <c r="H153" s="19">
        <v>25726</v>
      </c>
      <c r="I153" s="19" t="s">
        <v>48</v>
      </c>
      <c r="J153" s="18" t="s">
        <v>199</v>
      </c>
      <c r="K153" s="18" t="s">
        <v>203</v>
      </c>
      <c r="L153" s="8" t="s">
        <v>110</v>
      </c>
      <c r="M153" s="8" t="s">
        <v>111</v>
      </c>
    </row>
    <row r="154" spans="1:13">
      <c r="A154" s="18" t="s">
        <v>69</v>
      </c>
      <c r="B154" s="18" t="s">
        <v>264</v>
      </c>
      <c r="C154" s="18" t="s">
        <v>261</v>
      </c>
      <c r="D154" s="18">
        <v>2.2</v>
      </c>
      <c r="E154" s="18" t="s">
        <v>108</v>
      </c>
      <c r="F154" s="18">
        <v>46</v>
      </c>
      <c r="G154" s="18">
        <v>2</v>
      </c>
      <c r="H154" s="19">
        <v>24857</v>
      </c>
      <c r="I154" s="19" t="s">
        <v>32</v>
      </c>
      <c r="J154" s="18" t="s">
        <v>199</v>
      </c>
      <c r="K154" s="18" t="s">
        <v>203</v>
      </c>
      <c r="L154" s="8" t="s">
        <v>81</v>
      </c>
      <c r="M154" s="8" t="s">
        <v>82</v>
      </c>
    </row>
    <row r="155" spans="1:13">
      <c r="A155" s="18" t="s">
        <v>69</v>
      </c>
      <c r="B155" s="18" t="s">
        <v>264</v>
      </c>
      <c r="C155" s="18" t="s">
        <v>261</v>
      </c>
      <c r="D155" s="18">
        <v>2.2</v>
      </c>
      <c r="E155" s="18" t="s">
        <v>107</v>
      </c>
      <c r="F155" s="18">
        <v>45</v>
      </c>
      <c r="G155" s="18">
        <v>1</v>
      </c>
      <c r="H155" s="18"/>
      <c r="I155" s="18"/>
      <c r="J155" s="18" t="s">
        <v>199</v>
      </c>
      <c r="K155" s="18" t="s">
        <v>200</v>
      </c>
      <c r="L155" s="8" t="s">
        <v>39</v>
      </c>
      <c r="M155" s="8" t="s">
        <v>40</v>
      </c>
    </row>
    <row r="156" spans="1:13">
      <c r="A156" s="18" t="s">
        <v>69</v>
      </c>
      <c r="B156" s="18" t="s">
        <v>264</v>
      </c>
      <c r="C156" s="18" t="s">
        <v>261</v>
      </c>
      <c r="D156" s="18">
        <v>2.2</v>
      </c>
      <c r="E156" s="18" t="s">
        <v>106</v>
      </c>
      <c r="F156" s="18">
        <v>42</v>
      </c>
      <c r="G156" s="18">
        <v>1</v>
      </c>
      <c r="H156" s="18"/>
      <c r="I156" s="18"/>
      <c r="J156" s="18" t="s">
        <v>199</v>
      </c>
      <c r="K156" s="18" t="s">
        <v>200</v>
      </c>
      <c r="L156" s="8" t="s">
        <v>67</v>
      </c>
      <c r="M156" s="8" t="s">
        <v>68</v>
      </c>
    </row>
    <row r="157" spans="1:13">
      <c r="A157" s="18" t="s">
        <v>69</v>
      </c>
      <c r="B157" s="18" t="s">
        <v>264</v>
      </c>
      <c r="C157" s="18" t="s">
        <v>261</v>
      </c>
      <c r="D157" s="18">
        <v>2.2</v>
      </c>
      <c r="E157" s="18" t="s">
        <v>105</v>
      </c>
      <c r="F157" s="18">
        <v>41</v>
      </c>
      <c r="G157" s="18">
        <v>1</v>
      </c>
      <c r="H157" s="18"/>
      <c r="I157" s="18"/>
      <c r="J157" s="18" t="s">
        <v>199</v>
      </c>
      <c r="K157" s="18" t="s">
        <v>200</v>
      </c>
      <c r="L157" s="8" t="s">
        <v>67</v>
      </c>
      <c r="M157" s="8" t="s">
        <v>68</v>
      </c>
    </row>
    <row r="158" spans="1:13">
      <c r="A158" s="18" t="s">
        <v>69</v>
      </c>
      <c r="B158" s="18" t="s">
        <v>264</v>
      </c>
      <c r="C158" s="18" t="s">
        <v>261</v>
      </c>
      <c r="D158" s="18">
        <v>2.2</v>
      </c>
      <c r="E158" s="18" t="s">
        <v>100</v>
      </c>
      <c r="F158" s="18">
        <v>36</v>
      </c>
      <c r="G158" s="18">
        <v>1</v>
      </c>
      <c r="H158" s="18"/>
      <c r="I158" s="18"/>
      <c r="J158" s="18" t="s">
        <v>24</v>
      </c>
      <c r="K158" s="18" t="s">
        <v>25</v>
      </c>
      <c r="L158" s="8" t="s">
        <v>26</v>
      </c>
      <c r="M158" s="8" t="s">
        <v>27</v>
      </c>
    </row>
    <row r="159" spans="1:13">
      <c r="A159" s="18" t="s">
        <v>69</v>
      </c>
      <c r="B159" s="18" t="s">
        <v>264</v>
      </c>
      <c r="C159" s="18" t="s">
        <v>261</v>
      </c>
      <c r="D159" s="18">
        <v>2.2</v>
      </c>
      <c r="E159" s="18" t="s">
        <v>95</v>
      </c>
      <c r="F159" s="18">
        <v>33</v>
      </c>
      <c r="G159" s="18">
        <v>1</v>
      </c>
      <c r="H159" s="18"/>
      <c r="I159" s="18"/>
      <c r="J159" s="18" t="s">
        <v>199</v>
      </c>
      <c r="K159" s="18" t="s">
        <v>200</v>
      </c>
      <c r="L159" s="8" t="s">
        <v>96</v>
      </c>
      <c r="M159" s="8" t="s">
        <v>97</v>
      </c>
    </row>
    <row r="160" spans="1:13">
      <c r="A160" s="18" t="s">
        <v>69</v>
      </c>
      <c r="B160" s="18" t="s">
        <v>264</v>
      </c>
      <c r="C160" s="18" t="s">
        <v>261</v>
      </c>
      <c r="D160" s="18">
        <v>2.2</v>
      </c>
      <c r="E160" s="18" t="s">
        <v>94</v>
      </c>
      <c r="F160" s="18">
        <v>28</v>
      </c>
      <c r="G160" s="18">
        <v>1</v>
      </c>
      <c r="H160" s="18"/>
      <c r="I160" s="18"/>
      <c r="J160" s="18" t="s">
        <v>24</v>
      </c>
      <c r="K160" s="18" t="s">
        <v>25</v>
      </c>
      <c r="L160" s="8" t="s">
        <v>39</v>
      </c>
      <c r="M160" s="8" t="s">
        <v>40</v>
      </c>
    </row>
    <row r="161" spans="1:13">
      <c r="A161" s="18" t="s">
        <v>69</v>
      </c>
      <c r="B161" s="18" t="s">
        <v>264</v>
      </c>
      <c r="C161" s="18" t="s">
        <v>261</v>
      </c>
      <c r="D161" s="18">
        <v>2.2</v>
      </c>
      <c r="E161" s="18" t="s">
        <v>224</v>
      </c>
      <c r="F161" s="18">
        <v>24</v>
      </c>
      <c r="G161" s="18">
        <v>2</v>
      </c>
      <c r="H161" s="18" t="s">
        <v>72</v>
      </c>
      <c r="I161" s="18" t="s">
        <v>48</v>
      </c>
      <c r="J161" s="18" t="s">
        <v>199</v>
      </c>
      <c r="K161" s="18" t="s">
        <v>203</v>
      </c>
      <c r="L161" s="8" t="s">
        <v>49</v>
      </c>
      <c r="M161" s="8" t="s">
        <v>50</v>
      </c>
    </row>
    <row r="162" spans="1:13">
      <c r="A162" s="18" t="s">
        <v>69</v>
      </c>
      <c r="B162" s="18" t="s">
        <v>264</v>
      </c>
      <c r="C162" s="18" t="s">
        <v>261</v>
      </c>
      <c r="D162" s="18">
        <v>2.2</v>
      </c>
      <c r="E162" s="18" t="s">
        <v>85</v>
      </c>
      <c r="F162" s="18">
        <v>22</v>
      </c>
      <c r="G162" s="18">
        <v>1</v>
      </c>
      <c r="H162" s="18"/>
      <c r="I162" s="18"/>
      <c r="J162" s="18" t="s">
        <v>199</v>
      </c>
      <c r="K162" s="18" t="s">
        <v>200</v>
      </c>
      <c r="L162" s="8" t="s">
        <v>86</v>
      </c>
      <c r="M162" s="8" t="s">
        <v>87</v>
      </c>
    </row>
    <row r="163" spans="1:13">
      <c r="A163" s="18" t="s">
        <v>69</v>
      </c>
      <c r="B163" s="18" t="s">
        <v>264</v>
      </c>
      <c r="C163" s="18" t="s">
        <v>261</v>
      </c>
      <c r="D163" s="18">
        <v>2.2</v>
      </c>
      <c r="E163" s="18" t="s">
        <v>80</v>
      </c>
      <c r="F163" s="18">
        <v>20</v>
      </c>
      <c r="G163" s="18">
        <v>2</v>
      </c>
      <c r="H163" s="18">
        <v>26557</v>
      </c>
      <c r="I163" s="18" t="s">
        <v>32</v>
      </c>
      <c r="J163" s="18" t="s">
        <v>199</v>
      </c>
      <c r="K163" s="18" t="s">
        <v>203</v>
      </c>
      <c r="L163" s="8" t="s">
        <v>81</v>
      </c>
      <c r="M163" s="8" t="s">
        <v>82</v>
      </c>
    </row>
    <row r="164" spans="1:13">
      <c r="A164" s="18" t="s">
        <v>69</v>
      </c>
      <c r="B164" s="18" t="s">
        <v>264</v>
      </c>
      <c r="C164" s="18" t="s">
        <v>261</v>
      </c>
      <c r="D164" s="18">
        <v>2.2</v>
      </c>
      <c r="E164" s="18" t="s">
        <v>211</v>
      </c>
      <c r="F164" s="18">
        <v>17</v>
      </c>
      <c r="G164" s="18">
        <v>1</v>
      </c>
      <c r="H164" s="18"/>
      <c r="I164" s="18"/>
      <c r="J164" s="18" t="s">
        <v>199</v>
      </c>
      <c r="K164" s="18" t="s">
        <v>200</v>
      </c>
      <c r="L164" s="8" t="s">
        <v>86</v>
      </c>
      <c r="M164" s="8" t="s">
        <v>87</v>
      </c>
    </row>
    <row r="165" spans="1:13">
      <c r="A165" s="18" t="s">
        <v>69</v>
      </c>
      <c r="B165" s="18" t="s">
        <v>264</v>
      </c>
      <c r="C165" s="18" t="s">
        <v>261</v>
      </c>
      <c r="D165" s="18">
        <v>2.2</v>
      </c>
      <c r="E165" s="18" t="s">
        <v>71</v>
      </c>
      <c r="F165" s="18">
        <v>14</v>
      </c>
      <c r="G165" s="18">
        <v>2</v>
      </c>
      <c r="H165" s="18" t="s">
        <v>72</v>
      </c>
      <c r="I165" s="18" t="s">
        <v>48</v>
      </c>
      <c r="J165" s="18" t="s">
        <v>24</v>
      </c>
      <c r="K165" s="18" t="s">
        <v>205</v>
      </c>
      <c r="L165" s="8" t="s">
        <v>73</v>
      </c>
      <c r="M165" s="8" t="s">
        <v>74</v>
      </c>
    </row>
    <row r="166" spans="1:13">
      <c r="A166" s="18" t="s">
        <v>69</v>
      </c>
      <c r="B166" s="18" t="s">
        <v>264</v>
      </c>
      <c r="C166" s="18" t="s">
        <v>261</v>
      </c>
      <c r="D166" s="18">
        <v>2.2</v>
      </c>
      <c r="E166" s="18" t="s">
        <v>201</v>
      </c>
      <c r="F166" s="18">
        <v>10</v>
      </c>
      <c r="G166" s="18">
        <v>1</v>
      </c>
      <c r="H166" s="18"/>
      <c r="I166" s="18"/>
      <c r="J166" s="18" t="s">
        <v>199</v>
      </c>
      <c r="K166" s="18" t="s">
        <v>200</v>
      </c>
      <c r="L166" s="8" t="s">
        <v>49</v>
      </c>
      <c r="M166" s="8" t="s">
        <v>50</v>
      </c>
    </row>
    <row r="167" spans="1:13">
      <c r="A167" s="18" t="s">
        <v>69</v>
      </c>
      <c r="B167" s="18" t="s">
        <v>264</v>
      </c>
      <c r="C167" s="18" t="s">
        <v>261</v>
      </c>
      <c r="D167" s="18">
        <v>2.2</v>
      </c>
      <c r="E167" s="18" t="s">
        <v>58</v>
      </c>
      <c r="F167" s="18">
        <v>9</v>
      </c>
      <c r="G167" s="18">
        <v>1</v>
      </c>
      <c r="H167" s="18"/>
      <c r="I167" s="18"/>
      <c r="J167" s="18" t="s">
        <v>199</v>
      </c>
      <c r="K167" s="18" t="s">
        <v>200</v>
      </c>
      <c r="L167" s="8" t="s">
        <v>49</v>
      </c>
      <c r="M167" s="8" t="s">
        <v>50</v>
      </c>
    </row>
    <row r="168" spans="1:13">
      <c r="A168" s="18" t="s">
        <v>69</v>
      </c>
      <c r="B168" s="18" t="s">
        <v>264</v>
      </c>
      <c r="C168" s="18" t="s">
        <v>261</v>
      </c>
      <c r="D168" s="18">
        <v>2.2</v>
      </c>
      <c r="E168" s="18" t="s">
        <v>23</v>
      </c>
      <c r="F168" s="18">
        <v>4</v>
      </c>
      <c r="G168" s="18">
        <v>1</v>
      </c>
      <c r="H168" s="18"/>
      <c r="I168" s="18"/>
      <c r="J168" s="18" t="s">
        <v>199</v>
      </c>
      <c r="K168" s="18" t="s">
        <v>200</v>
      </c>
      <c r="L168" s="8" t="s">
        <v>26</v>
      </c>
      <c r="M168" s="8" t="s">
        <v>27</v>
      </c>
    </row>
    <row r="169" spans="1:13">
      <c r="A169" s="18" t="s">
        <v>69</v>
      </c>
      <c r="B169" s="18" t="s">
        <v>264</v>
      </c>
      <c r="C169" s="18" t="s">
        <v>261</v>
      </c>
      <c r="D169" s="18">
        <v>2.2</v>
      </c>
      <c r="E169" s="18" t="s">
        <v>227</v>
      </c>
      <c r="F169" s="18">
        <v>2</v>
      </c>
      <c r="G169" s="18">
        <v>1</v>
      </c>
      <c r="H169" s="18"/>
      <c r="I169" s="18"/>
      <c r="J169" s="18" t="s">
        <v>199</v>
      </c>
      <c r="K169" s="18" t="s">
        <v>200</v>
      </c>
      <c r="L169" s="8" t="s">
        <v>119</v>
      </c>
      <c r="M169" s="8" t="s">
        <v>120</v>
      </c>
    </row>
    <row r="170" spans="1:13">
      <c r="A170" s="18" t="s">
        <v>75</v>
      </c>
      <c r="B170" s="18" t="s">
        <v>264</v>
      </c>
      <c r="C170" s="18" t="s">
        <v>262</v>
      </c>
      <c r="D170" s="18">
        <v>2.3</v>
      </c>
      <c r="E170" s="18" t="s">
        <v>58</v>
      </c>
      <c r="F170" s="18">
        <v>9</v>
      </c>
      <c r="G170" s="18">
        <v>2</v>
      </c>
      <c r="H170" s="18">
        <v>14403</v>
      </c>
      <c r="I170" s="18" t="s">
        <v>32</v>
      </c>
      <c r="J170" s="18" t="s">
        <v>199</v>
      </c>
      <c r="K170" s="18" t="s">
        <v>203</v>
      </c>
      <c r="L170" s="8" t="s">
        <v>49</v>
      </c>
      <c r="M170" s="8" t="s">
        <v>50</v>
      </c>
    </row>
    <row r="171" spans="1:13">
      <c r="A171" s="18" t="s">
        <v>75</v>
      </c>
      <c r="B171" s="18" t="s">
        <v>264</v>
      </c>
      <c r="C171" s="18" t="s">
        <v>262</v>
      </c>
      <c r="D171" s="18">
        <v>2.3</v>
      </c>
      <c r="E171" s="18" t="s">
        <v>66</v>
      </c>
      <c r="F171" s="18">
        <v>12</v>
      </c>
      <c r="G171" s="18">
        <v>1</v>
      </c>
      <c r="H171" s="18"/>
      <c r="I171" s="18"/>
      <c r="J171" s="18" t="s">
        <v>199</v>
      </c>
      <c r="K171" s="18" t="s">
        <v>200</v>
      </c>
      <c r="L171" s="8" t="s">
        <v>67</v>
      </c>
      <c r="M171" s="8" t="s">
        <v>68</v>
      </c>
    </row>
    <row r="172" spans="1:13">
      <c r="A172" s="18" t="s">
        <v>75</v>
      </c>
      <c r="B172" s="18" t="s">
        <v>264</v>
      </c>
      <c r="C172" s="18" t="s">
        <v>262</v>
      </c>
      <c r="D172" s="18">
        <v>2.3</v>
      </c>
      <c r="E172" s="18" t="s">
        <v>71</v>
      </c>
      <c r="F172" s="18">
        <v>14</v>
      </c>
      <c r="G172" s="18">
        <v>1</v>
      </c>
      <c r="H172" s="18"/>
      <c r="I172" s="18"/>
      <c r="J172" s="18" t="s">
        <v>24</v>
      </c>
      <c r="K172" s="18" t="s">
        <v>55</v>
      </c>
      <c r="L172" s="8" t="s">
        <v>73</v>
      </c>
      <c r="M172" s="8" t="s">
        <v>74</v>
      </c>
    </row>
    <row r="173" spans="1:13">
      <c r="A173" s="18" t="s">
        <v>75</v>
      </c>
      <c r="B173" s="18" t="s">
        <v>264</v>
      </c>
      <c r="C173" s="18" t="s">
        <v>262</v>
      </c>
      <c r="D173" s="18">
        <v>2.3</v>
      </c>
      <c r="E173" s="18" t="s">
        <v>211</v>
      </c>
      <c r="F173" s="18">
        <v>17</v>
      </c>
      <c r="G173" s="18">
        <v>1</v>
      </c>
      <c r="H173" s="18"/>
      <c r="I173" s="18"/>
      <c r="J173" s="18" t="s">
        <v>199</v>
      </c>
      <c r="K173" s="18" t="s">
        <v>200</v>
      </c>
      <c r="L173" s="8" t="s">
        <v>86</v>
      </c>
      <c r="M173" s="8" t="s">
        <v>87</v>
      </c>
    </row>
    <row r="174" spans="1:13">
      <c r="A174" s="18" t="s">
        <v>75</v>
      </c>
      <c r="B174" s="18" t="s">
        <v>264</v>
      </c>
      <c r="C174" s="18" t="s">
        <v>262</v>
      </c>
      <c r="D174" s="18">
        <v>2.3</v>
      </c>
      <c r="E174" s="18" t="s">
        <v>80</v>
      </c>
      <c r="F174" s="18">
        <v>20</v>
      </c>
      <c r="G174" s="18">
        <v>1</v>
      </c>
      <c r="H174" s="18"/>
      <c r="I174" s="18"/>
      <c r="J174" s="18" t="s">
        <v>24</v>
      </c>
      <c r="K174" s="18" t="s">
        <v>25</v>
      </c>
      <c r="L174" s="8" t="s">
        <v>81</v>
      </c>
      <c r="M174" s="8" t="s">
        <v>82</v>
      </c>
    </row>
    <row r="175" spans="1:13">
      <c r="A175" s="18" t="s">
        <v>75</v>
      </c>
      <c r="B175" s="18" t="s">
        <v>264</v>
      </c>
      <c r="C175" s="18" t="s">
        <v>262</v>
      </c>
      <c r="D175" s="18">
        <v>2.3</v>
      </c>
      <c r="E175" s="18" t="s">
        <v>224</v>
      </c>
      <c r="F175" s="18">
        <v>24</v>
      </c>
      <c r="G175" s="18">
        <v>2</v>
      </c>
      <c r="H175" s="18">
        <v>70899</v>
      </c>
      <c r="I175" s="18" t="s">
        <v>32</v>
      </c>
      <c r="J175" s="18" t="s">
        <v>199</v>
      </c>
      <c r="K175" s="18" t="s">
        <v>203</v>
      </c>
      <c r="L175" s="8" t="s">
        <v>49</v>
      </c>
      <c r="M175" s="8" t="s">
        <v>50</v>
      </c>
    </row>
    <row r="176" spans="1:13">
      <c r="A176" s="18" t="s">
        <v>75</v>
      </c>
      <c r="B176" s="18" t="s">
        <v>264</v>
      </c>
      <c r="C176" s="18" t="s">
        <v>262</v>
      </c>
      <c r="D176" s="18">
        <v>2.3</v>
      </c>
      <c r="E176" s="18" t="s">
        <v>94</v>
      </c>
      <c r="F176" s="18">
        <v>28</v>
      </c>
      <c r="G176" s="18">
        <v>1</v>
      </c>
      <c r="H176" s="18"/>
      <c r="I176" s="18"/>
      <c r="J176" s="18" t="s">
        <v>24</v>
      </c>
      <c r="K176" s="18" t="s">
        <v>55</v>
      </c>
      <c r="L176" s="8" t="s">
        <v>39</v>
      </c>
      <c r="M176" s="8" t="s">
        <v>40</v>
      </c>
    </row>
    <row r="177" spans="1:13">
      <c r="A177" s="18" t="s">
        <v>75</v>
      </c>
      <c r="B177" s="18" t="s">
        <v>264</v>
      </c>
      <c r="C177" s="18" t="s">
        <v>262</v>
      </c>
      <c r="D177" s="18">
        <v>2.3</v>
      </c>
      <c r="E177" s="18" t="s">
        <v>100</v>
      </c>
      <c r="F177" s="18">
        <v>36</v>
      </c>
      <c r="G177" s="18">
        <v>1</v>
      </c>
      <c r="H177" s="18"/>
      <c r="I177" s="18"/>
      <c r="J177" s="18" t="s">
        <v>24</v>
      </c>
      <c r="K177" s="18" t="s">
        <v>55</v>
      </c>
      <c r="L177" s="8" t="s">
        <v>26</v>
      </c>
      <c r="M177" s="8" t="s">
        <v>27</v>
      </c>
    </row>
    <row r="178" spans="1:13">
      <c r="A178" s="18" t="s">
        <v>75</v>
      </c>
      <c r="B178" s="18" t="s">
        <v>264</v>
      </c>
      <c r="C178" s="18" t="s">
        <v>262</v>
      </c>
      <c r="D178" s="18">
        <v>2.3</v>
      </c>
      <c r="E178" s="18" t="s">
        <v>105</v>
      </c>
      <c r="F178" s="18">
        <v>41</v>
      </c>
      <c r="G178" s="18">
        <v>1</v>
      </c>
      <c r="H178" s="18"/>
      <c r="I178" s="18"/>
      <c r="J178" s="18" t="s">
        <v>24</v>
      </c>
      <c r="K178" s="18" t="s">
        <v>55</v>
      </c>
      <c r="L178" s="8" t="s">
        <v>67</v>
      </c>
      <c r="M178" s="8" t="s">
        <v>68</v>
      </c>
    </row>
    <row r="179" spans="1:13">
      <c r="A179" s="18" t="s">
        <v>75</v>
      </c>
      <c r="B179" s="18" t="s">
        <v>264</v>
      </c>
      <c r="C179" s="18" t="s">
        <v>262</v>
      </c>
      <c r="D179" s="18">
        <v>2.3</v>
      </c>
      <c r="E179" s="18" t="s">
        <v>106</v>
      </c>
      <c r="F179" s="18">
        <v>42</v>
      </c>
      <c r="G179" s="18">
        <v>1</v>
      </c>
      <c r="H179" s="18"/>
      <c r="I179" s="18"/>
      <c r="J179" s="18" t="s">
        <v>199</v>
      </c>
      <c r="K179" s="18" t="s">
        <v>200</v>
      </c>
      <c r="L179" s="8" t="s">
        <v>67</v>
      </c>
      <c r="M179" s="8" t="s">
        <v>68</v>
      </c>
    </row>
    <row r="180" spans="1:13">
      <c r="A180" s="18" t="s">
        <v>75</v>
      </c>
      <c r="B180" s="18" t="s">
        <v>264</v>
      </c>
      <c r="C180" s="18" t="s">
        <v>262</v>
      </c>
      <c r="D180" s="18">
        <v>2.3</v>
      </c>
      <c r="E180" s="18" t="s">
        <v>107</v>
      </c>
      <c r="F180" s="18">
        <v>45</v>
      </c>
      <c r="G180" s="18">
        <v>1</v>
      </c>
      <c r="H180" s="18"/>
      <c r="I180" s="18"/>
      <c r="J180" s="18" t="s">
        <v>199</v>
      </c>
      <c r="K180" s="18" t="s">
        <v>200</v>
      </c>
      <c r="L180" s="8" t="s">
        <v>39</v>
      </c>
      <c r="M180" s="8" t="s">
        <v>40</v>
      </c>
    </row>
    <row r="181" spans="1:13">
      <c r="A181" s="18" t="s">
        <v>75</v>
      </c>
      <c r="B181" s="18" t="s">
        <v>264</v>
      </c>
      <c r="C181" s="18" t="s">
        <v>262</v>
      </c>
      <c r="D181" s="18">
        <v>2.3</v>
      </c>
      <c r="E181" s="18" t="s">
        <v>108</v>
      </c>
      <c r="F181" s="18">
        <v>46</v>
      </c>
      <c r="G181" s="18">
        <v>1</v>
      </c>
      <c r="H181" s="18"/>
      <c r="I181" s="18"/>
      <c r="J181" s="18" t="s">
        <v>24</v>
      </c>
      <c r="K181" s="18" t="s">
        <v>55</v>
      </c>
      <c r="L181" s="8" t="s">
        <v>81</v>
      </c>
      <c r="M181" s="8" t="s">
        <v>82</v>
      </c>
    </row>
    <row r="182" spans="1:13">
      <c r="A182" s="18" t="s">
        <v>75</v>
      </c>
      <c r="B182" s="18" t="s">
        <v>264</v>
      </c>
      <c r="C182" s="18" t="s">
        <v>262</v>
      </c>
      <c r="D182" s="18">
        <v>2.3</v>
      </c>
      <c r="E182" s="18" t="s">
        <v>113</v>
      </c>
      <c r="F182" s="18">
        <v>57</v>
      </c>
      <c r="G182" s="18">
        <v>1</v>
      </c>
      <c r="H182" s="18"/>
      <c r="I182" s="18"/>
      <c r="J182" s="18" t="s">
        <v>24</v>
      </c>
      <c r="K182" s="18" t="s">
        <v>55</v>
      </c>
      <c r="L182" s="8" t="s">
        <v>114</v>
      </c>
      <c r="M182" s="8" t="s">
        <v>115</v>
      </c>
    </row>
    <row r="183" spans="1:13">
      <c r="A183" s="18" t="s">
        <v>75</v>
      </c>
      <c r="B183" s="18" t="s">
        <v>264</v>
      </c>
      <c r="C183" s="18" t="s">
        <v>262</v>
      </c>
      <c r="D183" s="18">
        <v>2.3</v>
      </c>
      <c r="E183" s="18" t="s">
        <v>117</v>
      </c>
      <c r="F183" s="18">
        <v>59</v>
      </c>
      <c r="G183" s="18">
        <v>1</v>
      </c>
      <c r="H183" s="18"/>
      <c r="I183" s="18"/>
      <c r="J183" s="18" t="s">
        <v>199</v>
      </c>
      <c r="K183" s="18" t="s">
        <v>200</v>
      </c>
      <c r="L183" s="8" t="s">
        <v>102</v>
      </c>
      <c r="M183" s="8" t="s">
        <v>103</v>
      </c>
    </row>
    <row r="184" spans="1:13">
      <c r="A184" s="18" t="s">
        <v>75</v>
      </c>
      <c r="B184" s="18" t="s">
        <v>264</v>
      </c>
      <c r="C184" s="18" t="s">
        <v>262</v>
      </c>
      <c r="D184" s="18">
        <v>2.3</v>
      </c>
      <c r="E184" s="18" t="s">
        <v>121</v>
      </c>
      <c r="F184" s="18">
        <v>63</v>
      </c>
      <c r="G184" s="18">
        <v>1</v>
      </c>
      <c r="H184" s="18"/>
      <c r="I184" s="18"/>
      <c r="J184" s="18" t="s">
        <v>24</v>
      </c>
      <c r="K184" s="18" t="s">
        <v>25</v>
      </c>
      <c r="L184" s="8" t="s">
        <v>119</v>
      </c>
      <c r="M184" s="8" t="s">
        <v>120</v>
      </c>
    </row>
    <row r="185" spans="1:13">
      <c r="A185" s="18" t="s">
        <v>75</v>
      </c>
      <c r="B185" s="18" t="s">
        <v>264</v>
      </c>
      <c r="C185" s="18" t="s">
        <v>262</v>
      </c>
      <c r="D185" s="18">
        <v>2.3</v>
      </c>
      <c r="E185" s="18" t="s">
        <v>122</v>
      </c>
      <c r="F185" s="18">
        <v>64</v>
      </c>
      <c r="G185" s="18">
        <v>1</v>
      </c>
      <c r="H185" s="18"/>
      <c r="I185" s="18"/>
      <c r="J185" s="18" t="s">
        <v>24</v>
      </c>
      <c r="K185" s="18" t="s">
        <v>25</v>
      </c>
      <c r="L185" s="8" t="s">
        <v>119</v>
      </c>
      <c r="M185" s="8" t="s">
        <v>120</v>
      </c>
    </row>
    <row r="186" spans="1:13">
      <c r="A186" s="18" t="s">
        <v>75</v>
      </c>
      <c r="B186" s="18" t="s">
        <v>264</v>
      </c>
      <c r="C186" s="18" t="s">
        <v>262</v>
      </c>
      <c r="D186" s="18">
        <v>2.3</v>
      </c>
      <c r="E186" s="18" t="s">
        <v>124</v>
      </c>
      <c r="F186" s="18">
        <v>69</v>
      </c>
      <c r="G186" s="18">
        <v>2</v>
      </c>
      <c r="H186" s="18">
        <v>36460</v>
      </c>
      <c r="I186" s="18" t="s">
        <v>48</v>
      </c>
      <c r="J186" s="18" t="s">
        <v>24</v>
      </c>
      <c r="K186" s="18" t="s">
        <v>205</v>
      </c>
      <c r="L186" s="8" t="s">
        <v>102</v>
      </c>
      <c r="M186" s="8" t="s">
        <v>103</v>
      </c>
    </row>
    <row r="187" spans="1:13">
      <c r="A187" s="18" t="s">
        <v>75</v>
      </c>
      <c r="B187" s="18" t="s">
        <v>264</v>
      </c>
      <c r="C187" s="18" t="s">
        <v>262</v>
      </c>
      <c r="D187" s="18">
        <v>2.3</v>
      </c>
      <c r="E187" s="18" t="s">
        <v>127</v>
      </c>
      <c r="F187" s="18">
        <v>78</v>
      </c>
      <c r="G187" s="18">
        <v>2</v>
      </c>
      <c r="H187" s="18" t="s">
        <v>72</v>
      </c>
      <c r="I187" s="18" t="s">
        <v>48</v>
      </c>
      <c r="J187" s="18" t="s">
        <v>199</v>
      </c>
      <c r="K187" s="18" t="s">
        <v>203</v>
      </c>
      <c r="L187" s="8" t="s">
        <v>114</v>
      </c>
      <c r="M187" s="8" t="s">
        <v>115</v>
      </c>
    </row>
    <row r="188" spans="1:13">
      <c r="A188" s="18" t="s">
        <v>75</v>
      </c>
      <c r="B188" s="18" t="s">
        <v>264</v>
      </c>
      <c r="C188" s="18" t="s">
        <v>262</v>
      </c>
      <c r="D188" s="18">
        <v>2.3</v>
      </c>
      <c r="E188" s="8" t="s">
        <v>244</v>
      </c>
      <c r="F188" s="8">
        <v>82</v>
      </c>
      <c r="G188" s="8">
        <v>1</v>
      </c>
      <c r="H188" s="8"/>
      <c r="I188" s="8"/>
      <c r="J188" s="8" t="s">
        <v>199</v>
      </c>
      <c r="K188" s="8" t="s">
        <v>200</v>
      </c>
      <c r="L188" s="8" t="s">
        <v>73</v>
      </c>
      <c r="M188" s="8" t="s">
        <v>74</v>
      </c>
    </row>
    <row r="189" spans="1:13">
      <c r="A189" s="18" t="s">
        <v>75</v>
      </c>
      <c r="B189" s="18" t="s">
        <v>264</v>
      </c>
      <c r="C189" s="18" t="s">
        <v>262</v>
      </c>
      <c r="D189" s="18">
        <v>2.3</v>
      </c>
      <c r="E189" s="18" t="s">
        <v>130</v>
      </c>
      <c r="F189" s="18">
        <v>88</v>
      </c>
      <c r="G189" s="18">
        <v>1</v>
      </c>
      <c r="H189" s="18"/>
      <c r="I189" s="18"/>
      <c r="J189" s="18" t="s">
        <v>199</v>
      </c>
      <c r="K189" s="18" t="s">
        <v>200</v>
      </c>
      <c r="L189" s="8" t="s">
        <v>49</v>
      </c>
      <c r="M189" s="8" t="s">
        <v>50</v>
      </c>
    </row>
    <row r="190" spans="1:13">
      <c r="A190" s="18" t="s">
        <v>51</v>
      </c>
      <c r="B190" s="18" t="s">
        <v>264</v>
      </c>
      <c r="C190" s="18" t="s">
        <v>263</v>
      </c>
      <c r="D190" s="18">
        <v>2.4</v>
      </c>
      <c r="E190" s="18" t="s">
        <v>47</v>
      </c>
      <c r="F190" s="18">
        <v>8</v>
      </c>
      <c r="G190" s="18">
        <v>1</v>
      </c>
      <c r="H190" s="18"/>
      <c r="I190" s="18"/>
      <c r="J190" s="18" t="s">
        <v>24</v>
      </c>
      <c r="K190" s="18" t="s">
        <v>25</v>
      </c>
      <c r="L190" s="8" t="s">
        <v>49</v>
      </c>
      <c r="M190" s="8" t="s">
        <v>50</v>
      </c>
    </row>
    <row r="191" spans="1:13">
      <c r="A191" s="18" t="s">
        <v>51</v>
      </c>
      <c r="B191" s="18" t="s">
        <v>264</v>
      </c>
      <c r="C191" s="18" t="s">
        <v>263</v>
      </c>
      <c r="D191" s="18">
        <v>2.4</v>
      </c>
      <c r="E191" s="18" t="s">
        <v>58</v>
      </c>
      <c r="F191" s="18">
        <v>9</v>
      </c>
      <c r="G191" s="18">
        <v>1</v>
      </c>
      <c r="H191" s="18"/>
      <c r="I191" s="18"/>
      <c r="J191" s="18" t="s">
        <v>24</v>
      </c>
      <c r="K191" s="18" t="s">
        <v>55</v>
      </c>
      <c r="L191" s="8" t="s">
        <v>49</v>
      </c>
      <c r="M191" s="8" t="s">
        <v>50</v>
      </c>
    </row>
    <row r="192" spans="1:13">
      <c r="A192" s="18" t="s">
        <v>51</v>
      </c>
      <c r="B192" s="18" t="s">
        <v>264</v>
      </c>
      <c r="C192" s="18" t="s">
        <v>263</v>
      </c>
      <c r="D192" s="18">
        <v>2.4</v>
      </c>
      <c r="E192" s="18" t="s">
        <v>79</v>
      </c>
      <c r="F192" s="18">
        <v>15</v>
      </c>
      <c r="G192" s="18">
        <v>1</v>
      </c>
      <c r="H192" s="18"/>
      <c r="I192" s="18"/>
      <c r="J192" s="18" t="s">
        <v>24</v>
      </c>
      <c r="K192" s="18" t="s">
        <v>25</v>
      </c>
      <c r="L192" s="8" t="s">
        <v>73</v>
      </c>
      <c r="M192" s="8" t="s">
        <v>74</v>
      </c>
    </row>
    <row r="193" spans="1:13">
      <c r="A193" s="18" t="s">
        <v>51</v>
      </c>
      <c r="B193" s="18" t="s">
        <v>264</v>
      </c>
      <c r="C193" s="18" t="s">
        <v>263</v>
      </c>
      <c r="D193" s="18">
        <v>2.4</v>
      </c>
      <c r="E193" s="18" t="s">
        <v>80</v>
      </c>
      <c r="F193" s="18">
        <v>20</v>
      </c>
      <c r="G193" s="18">
        <v>1</v>
      </c>
      <c r="H193" s="18"/>
      <c r="I193" s="18"/>
      <c r="J193" s="18" t="s">
        <v>24</v>
      </c>
      <c r="K193" s="18" t="s">
        <v>25</v>
      </c>
      <c r="L193" s="8" t="s">
        <v>81</v>
      </c>
      <c r="M193" s="8" t="s">
        <v>82</v>
      </c>
    </row>
    <row r="194" spans="1:13">
      <c r="A194" s="18" t="s">
        <v>51</v>
      </c>
      <c r="B194" s="18" t="s">
        <v>264</v>
      </c>
      <c r="C194" s="18" t="s">
        <v>263</v>
      </c>
      <c r="D194" s="18">
        <v>2.4</v>
      </c>
      <c r="E194" s="18" t="s">
        <v>85</v>
      </c>
      <c r="F194" s="18">
        <v>22</v>
      </c>
      <c r="G194" s="18">
        <v>1</v>
      </c>
      <c r="H194" s="18"/>
      <c r="I194" s="18"/>
      <c r="J194" s="18" t="s">
        <v>199</v>
      </c>
      <c r="K194" s="18" t="s">
        <v>200</v>
      </c>
      <c r="L194" s="8" t="s">
        <v>86</v>
      </c>
      <c r="M194" s="8" t="s">
        <v>87</v>
      </c>
    </row>
    <row r="195" spans="1:13">
      <c r="A195" s="18" t="s">
        <v>51</v>
      </c>
      <c r="B195" s="18" t="s">
        <v>264</v>
      </c>
      <c r="C195" s="18" t="s">
        <v>263</v>
      </c>
      <c r="D195" s="18">
        <v>2.4</v>
      </c>
      <c r="E195" s="18" t="s">
        <v>95</v>
      </c>
      <c r="F195" s="18">
        <v>33</v>
      </c>
      <c r="G195" s="18">
        <v>1</v>
      </c>
      <c r="H195" s="18"/>
      <c r="I195" s="18"/>
      <c r="J195" s="18" t="s">
        <v>24</v>
      </c>
      <c r="K195" s="18" t="s">
        <v>55</v>
      </c>
      <c r="L195" s="8" t="s">
        <v>96</v>
      </c>
      <c r="M195" s="8" t="s">
        <v>97</v>
      </c>
    </row>
    <row r="196" spans="1:13">
      <c r="A196" s="18" t="s">
        <v>51</v>
      </c>
      <c r="B196" s="18" t="s">
        <v>264</v>
      </c>
      <c r="C196" s="18" t="s">
        <v>263</v>
      </c>
      <c r="D196" s="18">
        <v>2.4</v>
      </c>
      <c r="E196" s="18" t="s">
        <v>100</v>
      </c>
      <c r="F196" s="18">
        <v>36</v>
      </c>
      <c r="G196" s="18">
        <v>1</v>
      </c>
      <c r="H196" s="18"/>
      <c r="I196" s="18"/>
      <c r="J196" s="18" t="s">
        <v>199</v>
      </c>
      <c r="K196" s="18" t="s">
        <v>200</v>
      </c>
      <c r="L196" s="8" t="s">
        <v>26</v>
      </c>
      <c r="M196" s="8" t="s">
        <v>27</v>
      </c>
    </row>
    <row r="197" spans="1:13">
      <c r="A197" s="18" t="s">
        <v>51</v>
      </c>
      <c r="B197" s="18" t="s">
        <v>264</v>
      </c>
      <c r="C197" s="18" t="s">
        <v>263</v>
      </c>
      <c r="D197" s="18">
        <v>2.4</v>
      </c>
      <c r="E197" s="18" t="s">
        <v>107</v>
      </c>
      <c r="F197" s="18">
        <v>45</v>
      </c>
      <c r="G197" s="18">
        <v>1</v>
      </c>
      <c r="H197" s="18"/>
      <c r="I197" s="18"/>
      <c r="J197" s="18" t="s">
        <v>199</v>
      </c>
      <c r="K197" s="18" t="s">
        <v>200</v>
      </c>
      <c r="L197" s="8" t="s">
        <v>39</v>
      </c>
      <c r="M197" s="8" t="s">
        <v>40</v>
      </c>
    </row>
    <row r="198" spans="1:13">
      <c r="A198" s="18" t="s">
        <v>51</v>
      </c>
      <c r="B198" s="18" t="s">
        <v>264</v>
      </c>
      <c r="C198" s="18" t="s">
        <v>263</v>
      </c>
      <c r="D198" s="18">
        <v>2.4</v>
      </c>
      <c r="E198" s="18" t="s">
        <v>232</v>
      </c>
      <c r="F198" s="18">
        <v>47</v>
      </c>
      <c r="G198" s="18">
        <v>1</v>
      </c>
      <c r="H198" s="18"/>
      <c r="I198" s="18"/>
      <c r="J198" s="18" t="s">
        <v>199</v>
      </c>
      <c r="K198" s="18" t="s">
        <v>200</v>
      </c>
      <c r="L198" s="8" t="s">
        <v>102</v>
      </c>
      <c r="M198" s="8" t="s">
        <v>103</v>
      </c>
    </row>
    <row r="199" spans="1:13">
      <c r="A199" s="18" t="s">
        <v>51</v>
      </c>
      <c r="B199" s="18" t="s">
        <v>264</v>
      </c>
      <c r="C199" s="18" t="s">
        <v>263</v>
      </c>
      <c r="D199" s="18">
        <v>2.4</v>
      </c>
      <c r="E199" s="18" t="s">
        <v>113</v>
      </c>
      <c r="F199" s="18">
        <v>57</v>
      </c>
      <c r="G199" s="18">
        <v>1</v>
      </c>
      <c r="H199" s="18"/>
      <c r="I199" s="18"/>
      <c r="J199" s="18" t="s">
        <v>24</v>
      </c>
      <c r="K199" s="18" t="s">
        <v>25</v>
      </c>
      <c r="L199" s="8" t="s">
        <v>114</v>
      </c>
      <c r="M199" s="8" t="s">
        <v>115</v>
      </c>
    </row>
    <row r="200" spans="1:13">
      <c r="A200" s="18" t="s">
        <v>51</v>
      </c>
      <c r="B200" s="18" t="s">
        <v>264</v>
      </c>
      <c r="C200" s="18" t="s">
        <v>263</v>
      </c>
      <c r="D200" s="18">
        <v>2.4</v>
      </c>
      <c r="E200" s="18" t="s">
        <v>116</v>
      </c>
      <c r="F200" s="18">
        <v>58</v>
      </c>
      <c r="G200" s="18">
        <v>1</v>
      </c>
      <c r="H200" s="18"/>
      <c r="I200" s="18"/>
      <c r="J200" s="18" t="s">
        <v>24</v>
      </c>
      <c r="K200" s="18" t="s">
        <v>25</v>
      </c>
      <c r="L200" s="8" t="s">
        <v>102</v>
      </c>
      <c r="M200" s="8" t="s">
        <v>103</v>
      </c>
    </row>
    <row r="201" spans="1:13">
      <c r="A201" s="18" t="s">
        <v>51</v>
      </c>
      <c r="B201" s="18" t="s">
        <v>264</v>
      </c>
      <c r="C201" s="18" t="s">
        <v>263</v>
      </c>
      <c r="D201" s="18">
        <v>2.4</v>
      </c>
      <c r="E201" s="18" t="s">
        <v>117</v>
      </c>
      <c r="F201" s="18">
        <v>59</v>
      </c>
      <c r="G201" s="18">
        <v>2</v>
      </c>
      <c r="H201" s="19">
        <v>34426</v>
      </c>
      <c r="I201" s="19" t="s">
        <v>48</v>
      </c>
      <c r="J201" s="18" t="s">
        <v>199</v>
      </c>
      <c r="K201" s="18" t="s">
        <v>203</v>
      </c>
      <c r="L201" s="8" t="s">
        <v>102</v>
      </c>
      <c r="M201" s="8" t="s">
        <v>103</v>
      </c>
    </row>
    <row r="202" spans="1:13">
      <c r="A202" s="18" t="s">
        <v>51</v>
      </c>
      <c r="B202" s="18" t="s">
        <v>264</v>
      </c>
      <c r="C202" s="18" t="s">
        <v>263</v>
      </c>
      <c r="D202" s="18">
        <v>2.4</v>
      </c>
      <c r="E202" s="18" t="s">
        <v>118</v>
      </c>
      <c r="F202" s="18">
        <v>62</v>
      </c>
      <c r="G202" s="18">
        <v>1</v>
      </c>
      <c r="H202" s="18"/>
      <c r="I202" s="18"/>
      <c r="J202" s="18" t="s">
        <v>199</v>
      </c>
      <c r="K202" s="18" t="s">
        <v>200</v>
      </c>
      <c r="L202" s="8" t="s">
        <v>119</v>
      </c>
      <c r="M202" s="8" t="s">
        <v>120</v>
      </c>
    </row>
    <row r="203" spans="1:13">
      <c r="A203" s="18" t="s">
        <v>51</v>
      </c>
      <c r="B203" s="18" t="s">
        <v>264</v>
      </c>
      <c r="C203" s="18" t="s">
        <v>263</v>
      </c>
      <c r="D203" s="18">
        <v>2.4</v>
      </c>
      <c r="E203" s="18" t="s">
        <v>121</v>
      </c>
      <c r="F203" s="18">
        <v>63</v>
      </c>
      <c r="G203" s="18">
        <v>1</v>
      </c>
      <c r="H203" s="18"/>
      <c r="I203" s="18"/>
      <c r="J203" s="18" t="s">
        <v>24</v>
      </c>
      <c r="K203" s="18" t="s">
        <v>25</v>
      </c>
      <c r="L203" s="8" t="s">
        <v>119</v>
      </c>
      <c r="M203" s="8" t="s">
        <v>120</v>
      </c>
    </row>
    <row r="204" spans="1:13">
      <c r="A204" s="18" t="s">
        <v>51</v>
      </c>
      <c r="B204" s="18" t="s">
        <v>264</v>
      </c>
      <c r="C204" s="18" t="s">
        <v>263</v>
      </c>
      <c r="D204" s="18">
        <v>2.4</v>
      </c>
      <c r="E204" s="18" t="s">
        <v>122</v>
      </c>
      <c r="F204" s="18">
        <v>64</v>
      </c>
      <c r="G204" s="18">
        <v>1</v>
      </c>
      <c r="H204" s="18"/>
      <c r="I204" s="18"/>
      <c r="J204" s="18" t="s">
        <v>24</v>
      </c>
      <c r="K204" s="18" t="s">
        <v>55</v>
      </c>
      <c r="L204" s="8" t="s">
        <v>119</v>
      </c>
      <c r="M204" s="8" t="s">
        <v>120</v>
      </c>
    </row>
    <row r="205" spans="1:13">
      <c r="A205" s="18" t="s">
        <v>51</v>
      </c>
      <c r="B205" s="18" t="s">
        <v>264</v>
      </c>
      <c r="C205" s="18" t="s">
        <v>263</v>
      </c>
      <c r="D205" s="18">
        <v>2.4</v>
      </c>
      <c r="E205" s="18" t="s">
        <v>246</v>
      </c>
      <c r="F205" s="18">
        <v>65</v>
      </c>
      <c r="G205" s="18">
        <v>1</v>
      </c>
      <c r="H205" s="18"/>
      <c r="I205" s="18"/>
      <c r="J205" s="18" t="s">
        <v>199</v>
      </c>
      <c r="K205" s="18" t="s">
        <v>200</v>
      </c>
      <c r="L205" s="8" t="s">
        <v>102</v>
      </c>
      <c r="M205" s="8" t="s">
        <v>103</v>
      </c>
    </row>
    <row r="206" spans="1:13">
      <c r="A206" s="18" t="s">
        <v>51</v>
      </c>
      <c r="B206" s="18" t="s">
        <v>264</v>
      </c>
      <c r="C206" s="18" t="s">
        <v>263</v>
      </c>
      <c r="D206" s="18">
        <v>2.4</v>
      </c>
      <c r="E206" s="18" t="s">
        <v>219</v>
      </c>
      <c r="F206" s="18">
        <v>67</v>
      </c>
      <c r="G206" s="18">
        <v>2</v>
      </c>
      <c r="H206" s="18" t="s">
        <v>247</v>
      </c>
      <c r="I206" s="18" t="s">
        <v>48</v>
      </c>
      <c r="J206" s="18" t="s">
        <v>199</v>
      </c>
      <c r="K206" s="18" t="s">
        <v>203</v>
      </c>
      <c r="L206" s="8" t="s">
        <v>259</v>
      </c>
      <c r="M206" s="8" t="s">
        <v>260</v>
      </c>
    </row>
    <row r="207" spans="1:13">
      <c r="A207" s="18" t="s">
        <v>51</v>
      </c>
      <c r="B207" s="18" t="s">
        <v>264</v>
      </c>
      <c r="C207" s="18" t="s">
        <v>263</v>
      </c>
      <c r="D207" s="18">
        <v>2.4</v>
      </c>
      <c r="E207" s="18" t="s">
        <v>123</v>
      </c>
      <c r="F207" s="18">
        <v>68</v>
      </c>
      <c r="G207" s="18">
        <v>1</v>
      </c>
      <c r="H207" s="18"/>
      <c r="I207" s="18"/>
      <c r="J207" s="18" t="s">
        <v>24</v>
      </c>
      <c r="K207" s="18" t="s">
        <v>55</v>
      </c>
      <c r="L207" s="8" t="s">
        <v>110</v>
      </c>
      <c r="M207" s="8" t="s">
        <v>111</v>
      </c>
    </row>
    <row r="208" spans="1:13">
      <c r="A208" s="18" t="s">
        <v>51</v>
      </c>
      <c r="B208" s="18" t="s">
        <v>264</v>
      </c>
      <c r="C208" s="18" t="s">
        <v>263</v>
      </c>
      <c r="D208" s="18">
        <v>2.4</v>
      </c>
      <c r="E208" s="18" t="s">
        <v>124</v>
      </c>
      <c r="F208" s="18">
        <v>69</v>
      </c>
      <c r="G208" s="18">
        <v>1</v>
      </c>
      <c r="H208" s="18"/>
      <c r="I208" s="18"/>
      <c r="J208" s="18" t="s">
        <v>24</v>
      </c>
      <c r="K208" s="18" t="s">
        <v>25</v>
      </c>
      <c r="L208" s="8" t="s">
        <v>102</v>
      </c>
      <c r="M208" s="8" t="s">
        <v>103</v>
      </c>
    </row>
    <row r="209" spans="1:13">
      <c r="A209" s="18" t="s">
        <v>51</v>
      </c>
      <c r="B209" s="18" t="s">
        <v>264</v>
      </c>
      <c r="C209" s="18" t="s">
        <v>263</v>
      </c>
      <c r="D209" s="18">
        <v>2.4</v>
      </c>
      <c r="E209" s="18" t="s">
        <v>235</v>
      </c>
      <c r="F209" s="18">
        <v>85</v>
      </c>
      <c r="G209" s="18">
        <v>1</v>
      </c>
      <c r="H209" s="18"/>
      <c r="I209" s="18"/>
      <c r="J209" s="18" t="s">
        <v>199</v>
      </c>
      <c r="K209" s="18" t="s">
        <v>200</v>
      </c>
      <c r="L209" s="8" t="s">
        <v>86</v>
      </c>
      <c r="M209" s="8" t="s">
        <v>87</v>
      </c>
    </row>
    <row r="210" spans="1:13">
      <c r="A210" s="18" t="s">
        <v>28</v>
      </c>
      <c r="B210" s="18" t="s">
        <v>265</v>
      </c>
      <c r="C210" s="18" t="s">
        <v>258</v>
      </c>
      <c r="D210" s="18">
        <v>3.1</v>
      </c>
      <c r="E210" s="18" t="s">
        <v>23</v>
      </c>
      <c r="F210" s="18">
        <v>4</v>
      </c>
      <c r="G210" s="18">
        <v>2</v>
      </c>
      <c r="H210" s="19" t="s">
        <v>31</v>
      </c>
      <c r="I210" s="19" t="s">
        <v>32</v>
      </c>
      <c r="J210" s="18" t="s">
        <v>24</v>
      </c>
      <c r="K210" s="18" t="s">
        <v>205</v>
      </c>
      <c r="L210" s="8" t="s">
        <v>26</v>
      </c>
      <c r="M210" s="8" t="s">
        <v>27</v>
      </c>
    </row>
    <row r="211" spans="1:13">
      <c r="A211" s="18" t="s">
        <v>28</v>
      </c>
      <c r="B211" s="18" t="s">
        <v>265</v>
      </c>
      <c r="C211" s="18" t="s">
        <v>258</v>
      </c>
      <c r="D211" s="18">
        <v>3.1</v>
      </c>
      <c r="E211" s="18" t="s">
        <v>47</v>
      </c>
      <c r="F211" s="18">
        <v>8</v>
      </c>
      <c r="G211" s="18">
        <v>2</v>
      </c>
      <c r="H211" s="19" t="s">
        <v>31</v>
      </c>
      <c r="I211" s="19" t="s">
        <v>32</v>
      </c>
      <c r="J211" s="18" t="s">
        <v>199</v>
      </c>
      <c r="K211" s="18" t="s">
        <v>203</v>
      </c>
      <c r="L211" s="8" t="s">
        <v>49</v>
      </c>
      <c r="M211" s="8" t="s">
        <v>50</v>
      </c>
    </row>
    <row r="212" spans="1:13">
      <c r="A212" s="18" t="s">
        <v>28</v>
      </c>
      <c r="B212" s="18" t="s">
        <v>265</v>
      </c>
      <c r="C212" s="18" t="s">
        <v>258</v>
      </c>
      <c r="D212" s="18">
        <v>3.1</v>
      </c>
      <c r="E212" s="18" t="s">
        <v>58</v>
      </c>
      <c r="F212" s="18">
        <v>9</v>
      </c>
      <c r="G212" s="18">
        <v>2</v>
      </c>
      <c r="H212" s="19">
        <v>96249</v>
      </c>
      <c r="I212" s="19" t="s">
        <v>32</v>
      </c>
      <c r="J212" s="18" t="s">
        <v>199</v>
      </c>
      <c r="K212" s="18" t="s">
        <v>203</v>
      </c>
      <c r="L212" s="8" t="s">
        <v>49</v>
      </c>
      <c r="M212" s="8" t="s">
        <v>50</v>
      </c>
    </row>
    <row r="213" spans="1:13">
      <c r="A213" s="18" t="s">
        <v>28</v>
      </c>
      <c r="B213" s="18" t="s">
        <v>265</v>
      </c>
      <c r="C213" s="18" t="s">
        <v>258</v>
      </c>
      <c r="D213" s="18">
        <v>3.1</v>
      </c>
      <c r="E213" s="18" t="s">
        <v>211</v>
      </c>
      <c r="F213" s="18">
        <v>17</v>
      </c>
      <c r="G213" s="18">
        <v>1</v>
      </c>
      <c r="H213" s="18"/>
      <c r="I213" s="18"/>
      <c r="J213" s="18" t="s">
        <v>199</v>
      </c>
      <c r="K213" s="18" t="s">
        <v>200</v>
      </c>
      <c r="L213" s="8" t="s">
        <v>86</v>
      </c>
      <c r="M213" s="8" t="s">
        <v>87</v>
      </c>
    </row>
    <row r="214" spans="1:13">
      <c r="A214" s="18" t="s">
        <v>28</v>
      </c>
      <c r="B214" s="18" t="s">
        <v>265</v>
      </c>
      <c r="C214" s="18" t="s">
        <v>258</v>
      </c>
      <c r="D214" s="18">
        <v>3.1</v>
      </c>
      <c r="E214" s="18" t="s">
        <v>80</v>
      </c>
      <c r="F214" s="18">
        <v>20</v>
      </c>
      <c r="G214" s="18">
        <v>2</v>
      </c>
      <c r="H214" s="19" t="s">
        <v>31</v>
      </c>
      <c r="I214" s="19" t="s">
        <v>32</v>
      </c>
      <c r="J214" s="18" t="s">
        <v>199</v>
      </c>
      <c r="K214" s="18" t="s">
        <v>203</v>
      </c>
      <c r="L214" s="8" t="s">
        <v>81</v>
      </c>
      <c r="M214" s="8" t="s">
        <v>82</v>
      </c>
    </row>
    <row r="215" spans="1:13">
      <c r="A215" s="18" t="s">
        <v>28</v>
      </c>
      <c r="B215" s="18" t="s">
        <v>265</v>
      </c>
      <c r="C215" s="18" t="s">
        <v>258</v>
      </c>
      <c r="D215" s="18">
        <v>3.1</v>
      </c>
      <c r="E215" s="18" t="s">
        <v>85</v>
      </c>
      <c r="F215" s="18">
        <v>22</v>
      </c>
      <c r="G215" s="18">
        <v>1</v>
      </c>
      <c r="H215" s="18"/>
      <c r="I215" s="18"/>
      <c r="J215" s="18" t="s">
        <v>24</v>
      </c>
      <c r="K215" s="18" t="s">
        <v>25</v>
      </c>
      <c r="L215" s="8" t="s">
        <v>86</v>
      </c>
      <c r="M215" s="8" t="s">
        <v>87</v>
      </c>
    </row>
    <row r="216" spans="1:13">
      <c r="A216" s="18" t="s">
        <v>28</v>
      </c>
      <c r="B216" s="18" t="s">
        <v>265</v>
      </c>
      <c r="C216" s="18" t="s">
        <v>258</v>
      </c>
      <c r="D216" s="18">
        <v>3.1</v>
      </c>
      <c r="E216" s="18" t="s">
        <v>93</v>
      </c>
      <c r="F216" s="18">
        <v>27</v>
      </c>
      <c r="G216" s="18">
        <v>1</v>
      </c>
      <c r="H216" s="18"/>
      <c r="I216" s="18"/>
      <c r="J216" s="18" t="s">
        <v>24</v>
      </c>
      <c r="K216" s="18" t="s">
        <v>25</v>
      </c>
      <c r="L216" s="8" t="s">
        <v>39</v>
      </c>
      <c r="M216" s="8" t="s">
        <v>40</v>
      </c>
    </row>
    <row r="217" spans="1:13">
      <c r="A217" s="18" t="s">
        <v>28</v>
      </c>
      <c r="B217" s="18" t="s">
        <v>265</v>
      </c>
      <c r="C217" s="18" t="s">
        <v>258</v>
      </c>
      <c r="D217" s="18">
        <v>3.1</v>
      </c>
      <c r="E217" s="18" t="s">
        <v>248</v>
      </c>
      <c r="F217" s="18">
        <v>30</v>
      </c>
      <c r="G217" s="18">
        <v>1</v>
      </c>
      <c r="H217" s="18"/>
      <c r="I217" s="18"/>
      <c r="J217" s="18" t="s">
        <v>199</v>
      </c>
      <c r="K217" s="18" t="s">
        <v>200</v>
      </c>
      <c r="L217" s="8" t="s">
        <v>26</v>
      </c>
      <c r="M217" s="8" t="s">
        <v>27</v>
      </c>
    </row>
    <row r="218" spans="1:13">
      <c r="A218" s="18" t="s">
        <v>28</v>
      </c>
      <c r="B218" s="18" t="s">
        <v>265</v>
      </c>
      <c r="C218" s="18" t="s">
        <v>258</v>
      </c>
      <c r="D218" s="18">
        <v>3.1</v>
      </c>
      <c r="E218" s="18" t="s">
        <v>95</v>
      </c>
      <c r="F218" s="18">
        <v>33</v>
      </c>
      <c r="G218" s="18">
        <v>1</v>
      </c>
      <c r="H218" s="18"/>
      <c r="I218" s="18"/>
      <c r="J218" s="18" t="s">
        <v>24</v>
      </c>
      <c r="K218" s="18" t="s">
        <v>55</v>
      </c>
      <c r="L218" s="8" t="s">
        <v>96</v>
      </c>
      <c r="M218" s="8" t="s">
        <v>97</v>
      </c>
    </row>
    <row r="219" spans="1:13">
      <c r="A219" s="18" t="s">
        <v>28</v>
      </c>
      <c r="B219" s="18" t="s">
        <v>265</v>
      </c>
      <c r="C219" s="18" t="s">
        <v>258</v>
      </c>
      <c r="D219" s="18">
        <v>3.1</v>
      </c>
      <c r="E219" s="18" t="s">
        <v>100</v>
      </c>
      <c r="F219" s="18">
        <v>36</v>
      </c>
      <c r="G219" s="18">
        <v>1</v>
      </c>
      <c r="H219" s="18"/>
      <c r="I219" s="18"/>
      <c r="J219" s="18" t="s">
        <v>24</v>
      </c>
      <c r="K219" s="18" t="s">
        <v>25</v>
      </c>
      <c r="L219" s="8" t="s">
        <v>26</v>
      </c>
      <c r="M219" s="8" t="s">
        <v>27</v>
      </c>
    </row>
    <row r="220" spans="1:13">
      <c r="A220" s="18" t="s">
        <v>28</v>
      </c>
      <c r="B220" s="18" t="s">
        <v>265</v>
      </c>
      <c r="C220" s="18" t="s">
        <v>258</v>
      </c>
      <c r="D220" s="18">
        <v>3.1</v>
      </c>
      <c r="E220" s="18" t="s">
        <v>106</v>
      </c>
      <c r="F220" s="18">
        <v>42</v>
      </c>
      <c r="G220" s="18">
        <v>1</v>
      </c>
      <c r="H220" s="18"/>
      <c r="I220" s="18"/>
      <c r="J220" s="18" t="s">
        <v>199</v>
      </c>
      <c r="K220" s="18" t="s">
        <v>200</v>
      </c>
      <c r="L220" s="8" t="s">
        <v>67</v>
      </c>
      <c r="M220" s="8" t="s">
        <v>68</v>
      </c>
    </row>
    <row r="221" spans="1:13">
      <c r="A221" s="18" t="s">
        <v>28</v>
      </c>
      <c r="B221" s="18" t="s">
        <v>265</v>
      </c>
      <c r="C221" s="18" t="s">
        <v>258</v>
      </c>
      <c r="D221" s="18">
        <v>3.1</v>
      </c>
      <c r="E221" s="18" t="s">
        <v>108</v>
      </c>
      <c r="F221" s="18">
        <v>46</v>
      </c>
      <c r="G221" s="18">
        <v>2</v>
      </c>
      <c r="H221" s="19">
        <v>78356</v>
      </c>
      <c r="I221" s="19" t="s">
        <v>48</v>
      </c>
      <c r="J221" s="18" t="s">
        <v>24</v>
      </c>
      <c r="K221" s="18" t="s">
        <v>205</v>
      </c>
      <c r="L221" s="8" t="s">
        <v>81</v>
      </c>
      <c r="M221" s="8" t="s">
        <v>82</v>
      </c>
    </row>
    <row r="222" spans="1:13">
      <c r="A222" s="18" t="s">
        <v>28</v>
      </c>
      <c r="B222" s="18" t="s">
        <v>265</v>
      </c>
      <c r="C222" s="18" t="s">
        <v>258</v>
      </c>
      <c r="D222" s="18">
        <v>3.1</v>
      </c>
      <c r="E222" s="18" t="s">
        <v>232</v>
      </c>
      <c r="F222" s="18">
        <v>47</v>
      </c>
      <c r="G222" s="18">
        <v>1</v>
      </c>
      <c r="H222" s="18"/>
      <c r="I222" s="18"/>
      <c r="J222" s="18" t="s">
        <v>199</v>
      </c>
      <c r="K222" s="18" t="s">
        <v>200</v>
      </c>
      <c r="L222" s="8" t="s">
        <v>102</v>
      </c>
      <c r="M222" s="8" t="s">
        <v>103</v>
      </c>
    </row>
    <row r="223" spans="1:13">
      <c r="A223" s="18" t="s">
        <v>28</v>
      </c>
      <c r="B223" s="18" t="s">
        <v>265</v>
      </c>
      <c r="C223" s="18" t="s">
        <v>258</v>
      </c>
      <c r="D223" s="18">
        <v>3.1</v>
      </c>
      <c r="E223" s="18" t="s">
        <v>113</v>
      </c>
      <c r="F223" s="18">
        <v>57</v>
      </c>
      <c r="G223" s="18">
        <v>2</v>
      </c>
      <c r="H223" s="19">
        <v>63713</v>
      </c>
      <c r="I223" s="19" t="s">
        <v>32</v>
      </c>
      <c r="J223" s="18" t="s">
        <v>199</v>
      </c>
      <c r="K223" s="18" t="s">
        <v>203</v>
      </c>
      <c r="L223" s="8" t="s">
        <v>114</v>
      </c>
      <c r="M223" s="8" t="s">
        <v>115</v>
      </c>
    </row>
    <row r="224" spans="1:13">
      <c r="A224" s="18" t="s">
        <v>28</v>
      </c>
      <c r="B224" s="18" t="s">
        <v>265</v>
      </c>
      <c r="C224" s="18" t="s">
        <v>258</v>
      </c>
      <c r="D224" s="18">
        <v>3.1</v>
      </c>
      <c r="E224" s="18" t="s">
        <v>116</v>
      </c>
      <c r="F224" s="18">
        <v>58</v>
      </c>
      <c r="G224" s="18">
        <v>2</v>
      </c>
      <c r="H224" s="19" t="s">
        <v>31</v>
      </c>
      <c r="I224" s="19" t="s">
        <v>32</v>
      </c>
      <c r="J224" s="18" t="s">
        <v>199</v>
      </c>
      <c r="K224" s="18" t="s">
        <v>203</v>
      </c>
      <c r="L224" s="8" t="s">
        <v>102</v>
      </c>
      <c r="M224" s="8" t="s">
        <v>103</v>
      </c>
    </row>
    <row r="225" spans="1:13">
      <c r="A225" s="18" t="s">
        <v>28</v>
      </c>
      <c r="B225" s="18" t="s">
        <v>265</v>
      </c>
      <c r="C225" s="18" t="s">
        <v>258</v>
      </c>
      <c r="D225" s="18">
        <v>3.1</v>
      </c>
      <c r="E225" s="18" t="s">
        <v>117</v>
      </c>
      <c r="F225" s="18">
        <v>59</v>
      </c>
      <c r="G225" s="18">
        <v>1</v>
      </c>
      <c r="H225" s="18"/>
      <c r="I225" s="18"/>
      <c r="J225" s="18" t="s">
        <v>199</v>
      </c>
      <c r="K225" s="18" t="s">
        <v>200</v>
      </c>
      <c r="L225" s="8" t="s">
        <v>102</v>
      </c>
      <c r="M225" s="8" t="s">
        <v>103</v>
      </c>
    </row>
    <row r="226" spans="1:13">
      <c r="A226" s="18" t="s">
        <v>28</v>
      </c>
      <c r="B226" s="18" t="s">
        <v>265</v>
      </c>
      <c r="C226" s="18" t="s">
        <v>258</v>
      </c>
      <c r="D226" s="18">
        <v>3.1</v>
      </c>
      <c r="E226" s="18" t="s">
        <v>121</v>
      </c>
      <c r="F226" s="18">
        <v>63</v>
      </c>
      <c r="G226" s="18">
        <v>2</v>
      </c>
      <c r="H226" s="19">
        <v>42744</v>
      </c>
      <c r="I226" s="19" t="s">
        <v>48</v>
      </c>
      <c r="J226" s="18" t="s">
        <v>199</v>
      </c>
      <c r="K226" s="18" t="s">
        <v>203</v>
      </c>
      <c r="L226" s="8" t="s">
        <v>119</v>
      </c>
      <c r="M226" s="8" t="s">
        <v>120</v>
      </c>
    </row>
    <row r="227" spans="1:13">
      <c r="A227" s="18" t="s">
        <v>28</v>
      </c>
      <c r="B227" s="18" t="s">
        <v>265</v>
      </c>
      <c r="C227" s="18" t="s">
        <v>258</v>
      </c>
      <c r="D227" s="18">
        <v>3.1</v>
      </c>
      <c r="E227" s="18" t="s">
        <v>122</v>
      </c>
      <c r="F227" s="18">
        <v>64</v>
      </c>
      <c r="G227" s="18">
        <v>1</v>
      </c>
      <c r="H227" s="18"/>
      <c r="I227" s="18"/>
      <c r="J227" s="18" t="s">
        <v>24</v>
      </c>
      <c r="K227" s="18" t="s">
        <v>55</v>
      </c>
      <c r="L227" s="8" t="s">
        <v>119</v>
      </c>
      <c r="M227" s="8" t="s">
        <v>120</v>
      </c>
    </row>
    <row r="228" spans="1:13">
      <c r="A228" s="18" t="s">
        <v>28</v>
      </c>
      <c r="B228" s="18" t="s">
        <v>265</v>
      </c>
      <c r="C228" s="18" t="s">
        <v>258</v>
      </c>
      <c r="D228" s="18">
        <v>3.1</v>
      </c>
      <c r="E228" s="18" t="s">
        <v>219</v>
      </c>
      <c r="F228" s="18">
        <v>67</v>
      </c>
      <c r="G228" s="18">
        <v>1</v>
      </c>
      <c r="H228" s="18"/>
      <c r="I228" s="18"/>
      <c r="J228" s="18" t="s">
        <v>199</v>
      </c>
      <c r="K228" s="18" t="s">
        <v>200</v>
      </c>
      <c r="L228" s="8" t="s">
        <v>259</v>
      </c>
      <c r="M228" s="8" t="s">
        <v>260</v>
      </c>
    </row>
    <row r="229" spans="1:13">
      <c r="A229" s="18" t="s">
        <v>28</v>
      </c>
      <c r="B229" s="18" t="s">
        <v>265</v>
      </c>
      <c r="C229" s="18" t="s">
        <v>258</v>
      </c>
      <c r="D229" s="18">
        <v>3.1</v>
      </c>
      <c r="E229" s="18" t="s">
        <v>123</v>
      </c>
      <c r="F229" s="18">
        <v>68</v>
      </c>
      <c r="G229" s="18">
        <v>1</v>
      </c>
      <c r="H229" s="18"/>
      <c r="I229" s="18"/>
      <c r="J229" s="18" t="s">
        <v>24</v>
      </c>
      <c r="K229" s="18" t="s">
        <v>55</v>
      </c>
      <c r="L229" s="8" t="s">
        <v>110</v>
      </c>
      <c r="M229" s="8" t="s">
        <v>111</v>
      </c>
    </row>
    <row r="230" spans="1:13">
      <c r="A230" s="18" t="s">
        <v>28</v>
      </c>
      <c r="B230" s="18" t="s">
        <v>265</v>
      </c>
      <c r="C230" s="18" t="s">
        <v>258</v>
      </c>
      <c r="D230" s="18">
        <v>3.1</v>
      </c>
      <c r="E230" s="18" t="s">
        <v>124</v>
      </c>
      <c r="F230" s="18">
        <v>69</v>
      </c>
      <c r="G230" s="18">
        <v>1</v>
      </c>
      <c r="H230" s="18"/>
      <c r="I230" s="18"/>
      <c r="J230" s="18" t="s">
        <v>199</v>
      </c>
      <c r="K230" s="18" t="s">
        <v>200</v>
      </c>
      <c r="L230" s="8" t="s">
        <v>102</v>
      </c>
      <c r="M230" s="8" t="s">
        <v>103</v>
      </c>
    </row>
    <row r="231" spans="1:13">
      <c r="A231" s="18" t="s">
        <v>28</v>
      </c>
      <c r="B231" s="18" t="s">
        <v>265</v>
      </c>
      <c r="C231" s="18" t="s">
        <v>258</v>
      </c>
      <c r="D231" s="18">
        <v>3.1</v>
      </c>
      <c r="E231" s="18" t="s">
        <v>125</v>
      </c>
      <c r="F231" s="18">
        <v>72</v>
      </c>
      <c r="G231" s="18">
        <v>1</v>
      </c>
      <c r="H231" s="18"/>
      <c r="I231" s="18"/>
      <c r="J231" s="18" t="s">
        <v>24</v>
      </c>
      <c r="K231" s="18" t="s">
        <v>55</v>
      </c>
      <c r="L231" s="8" t="s">
        <v>96</v>
      </c>
      <c r="M231" s="8" t="s">
        <v>97</v>
      </c>
    </row>
    <row r="232" spans="1:13">
      <c r="A232" s="18" t="s">
        <v>28</v>
      </c>
      <c r="B232" s="18" t="s">
        <v>265</v>
      </c>
      <c r="C232" s="18" t="s">
        <v>258</v>
      </c>
      <c r="D232" s="18">
        <v>3.1</v>
      </c>
      <c r="E232" s="18" t="s">
        <v>126</v>
      </c>
      <c r="F232" s="18">
        <v>77</v>
      </c>
      <c r="G232" s="18">
        <v>1</v>
      </c>
      <c r="H232" s="18"/>
      <c r="I232" s="18"/>
      <c r="J232" s="18" t="s">
        <v>199</v>
      </c>
      <c r="K232" s="18" t="s">
        <v>200</v>
      </c>
      <c r="L232" s="8" t="s">
        <v>96</v>
      </c>
      <c r="M232" s="8" t="s">
        <v>97</v>
      </c>
    </row>
    <row r="233" spans="1:13">
      <c r="A233" s="18" t="s">
        <v>28</v>
      </c>
      <c r="B233" s="18" t="s">
        <v>265</v>
      </c>
      <c r="C233" s="18" t="s">
        <v>258</v>
      </c>
      <c r="D233" s="18">
        <v>3.1</v>
      </c>
      <c r="E233" s="18" t="s">
        <v>129</v>
      </c>
      <c r="F233" s="18">
        <v>86</v>
      </c>
      <c r="G233" s="18">
        <v>2</v>
      </c>
      <c r="H233" s="19">
        <v>18153</v>
      </c>
      <c r="I233" s="19" t="s">
        <v>32</v>
      </c>
      <c r="J233" s="18" t="s">
        <v>24</v>
      </c>
      <c r="K233" s="18" t="s">
        <v>205</v>
      </c>
      <c r="L233" s="8" t="s">
        <v>86</v>
      </c>
      <c r="M233" s="8" t="s">
        <v>87</v>
      </c>
    </row>
    <row r="234" spans="1:13">
      <c r="A234" s="18" t="s">
        <v>28</v>
      </c>
      <c r="B234" s="18" t="s">
        <v>265</v>
      </c>
      <c r="C234" s="18" t="s">
        <v>258</v>
      </c>
      <c r="D234" s="18">
        <v>3.1</v>
      </c>
      <c r="E234" s="18" t="s">
        <v>216</v>
      </c>
      <c r="F234" s="18">
        <v>87</v>
      </c>
      <c r="G234" s="18">
        <v>1</v>
      </c>
      <c r="H234" s="18"/>
      <c r="I234" s="18"/>
      <c r="J234" s="18" t="s">
        <v>199</v>
      </c>
      <c r="K234" s="18" t="s">
        <v>200</v>
      </c>
      <c r="L234" s="8" t="s">
        <v>81</v>
      </c>
      <c r="M234" s="8" t="s">
        <v>82</v>
      </c>
    </row>
    <row r="235" spans="1:13">
      <c r="A235" s="18" t="s">
        <v>28</v>
      </c>
      <c r="B235" s="18" t="s">
        <v>265</v>
      </c>
      <c r="C235" s="18" t="s">
        <v>258</v>
      </c>
      <c r="D235" s="18">
        <v>3.1</v>
      </c>
      <c r="E235" s="18" t="s">
        <v>130</v>
      </c>
      <c r="F235" s="18">
        <v>88</v>
      </c>
      <c r="G235" s="18">
        <v>2</v>
      </c>
      <c r="H235" s="19">
        <v>50882</v>
      </c>
      <c r="I235" s="19" t="s">
        <v>48</v>
      </c>
      <c r="J235" s="18" t="s">
        <v>24</v>
      </c>
      <c r="K235" s="18" t="s">
        <v>205</v>
      </c>
      <c r="L235" s="8" t="s">
        <v>49</v>
      </c>
      <c r="M235" s="8" t="s">
        <v>50</v>
      </c>
    </row>
    <row r="236" spans="1:13">
      <c r="A236" s="18" t="s">
        <v>77</v>
      </c>
      <c r="B236" s="18" t="s">
        <v>265</v>
      </c>
      <c r="C236" s="18" t="s">
        <v>261</v>
      </c>
      <c r="D236" s="18">
        <v>3.2</v>
      </c>
      <c r="E236" s="18" t="s">
        <v>211</v>
      </c>
      <c r="F236" s="18">
        <v>17</v>
      </c>
      <c r="G236" s="18">
        <v>1</v>
      </c>
      <c r="H236" s="19"/>
      <c r="I236" s="19"/>
      <c r="J236" s="18" t="s">
        <v>199</v>
      </c>
      <c r="K236" s="18" t="s">
        <v>200</v>
      </c>
      <c r="L236" s="8" t="s">
        <v>86</v>
      </c>
      <c r="M236" s="8" t="s">
        <v>87</v>
      </c>
    </row>
    <row r="237" spans="1:13">
      <c r="A237" s="18" t="s">
        <v>77</v>
      </c>
      <c r="B237" s="18" t="s">
        <v>265</v>
      </c>
      <c r="C237" s="18" t="s">
        <v>261</v>
      </c>
      <c r="D237" s="18">
        <v>3.2</v>
      </c>
      <c r="E237" s="18" t="s">
        <v>80</v>
      </c>
      <c r="F237" s="18">
        <v>20</v>
      </c>
      <c r="G237" s="18">
        <v>1</v>
      </c>
      <c r="H237" s="19"/>
      <c r="I237" s="19"/>
      <c r="J237" s="18" t="s">
        <v>199</v>
      </c>
      <c r="K237" s="18" t="s">
        <v>200</v>
      </c>
      <c r="L237" s="8" t="s">
        <v>81</v>
      </c>
      <c r="M237" s="8" t="s">
        <v>82</v>
      </c>
    </row>
    <row r="238" spans="1:13">
      <c r="A238" s="18" t="s">
        <v>77</v>
      </c>
      <c r="B238" s="18" t="s">
        <v>265</v>
      </c>
      <c r="C238" s="18" t="s">
        <v>261</v>
      </c>
      <c r="D238" s="18">
        <v>3.2</v>
      </c>
      <c r="E238" s="18" t="s">
        <v>224</v>
      </c>
      <c r="F238" s="18">
        <v>24</v>
      </c>
      <c r="G238" s="18">
        <v>1</v>
      </c>
      <c r="H238" s="19"/>
      <c r="I238" s="19"/>
      <c r="J238" s="18" t="s">
        <v>199</v>
      </c>
      <c r="K238" s="18" t="s">
        <v>200</v>
      </c>
      <c r="L238" s="8" t="s">
        <v>49</v>
      </c>
      <c r="M238" s="8" t="s">
        <v>50</v>
      </c>
    </row>
    <row r="239" spans="1:13">
      <c r="A239" s="18" t="s">
        <v>77</v>
      </c>
      <c r="B239" s="18" t="s">
        <v>265</v>
      </c>
      <c r="C239" s="18" t="s">
        <v>261</v>
      </c>
      <c r="D239" s="18">
        <v>3.2</v>
      </c>
      <c r="E239" s="18" t="s">
        <v>93</v>
      </c>
      <c r="F239" s="18">
        <v>27</v>
      </c>
      <c r="G239" s="18">
        <v>1</v>
      </c>
      <c r="H239" s="18"/>
      <c r="I239" s="18"/>
      <c r="J239" s="18" t="s">
        <v>199</v>
      </c>
      <c r="K239" s="18" t="s">
        <v>200</v>
      </c>
      <c r="L239" s="8" t="s">
        <v>39</v>
      </c>
      <c r="M239" s="8" t="s">
        <v>40</v>
      </c>
    </row>
    <row r="240" spans="1:13">
      <c r="A240" s="18" t="s">
        <v>77</v>
      </c>
      <c r="B240" s="18" t="s">
        <v>265</v>
      </c>
      <c r="C240" s="18" t="s">
        <v>261</v>
      </c>
      <c r="D240" s="18">
        <v>3.2</v>
      </c>
      <c r="E240" s="18" t="s">
        <v>105</v>
      </c>
      <c r="F240" s="18">
        <v>41</v>
      </c>
      <c r="G240" s="18">
        <v>1</v>
      </c>
      <c r="H240" s="19"/>
      <c r="I240" s="19"/>
      <c r="J240" s="18" t="s">
        <v>199</v>
      </c>
      <c r="K240" s="18" t="s">
        <v>200</v>
      </c>
      <c r="L240" s="8" t="s">
        <v>67</v>
      </c>
      <c r="M240" s="8" t="s">
        <v>68</v>
      </c>
    </row>
    <row r="241" spans="1:13">
      <c r="A241" s="18" t="s">
        <v>77</v>
      </c>
      <c r="B241" s="18" t="s">
        <v>265</v>
      </c>
      <c r="C241" s="18" t="s">
        <v>261</v>
      </c>
      <c r="D241" s="18">
        <v>3.2</v>
      </c>
      <c r="E241" s="18" t="s">
        <v>106</v>
      </c>
      <c r="F241" s="18">
        <v>42</v>
      </c>
      <c r="G241" s="18">
        <v>1</v>
      </c>
      <c r="H241" s="18"/>
      <c r="I241" s="18"/>
      <c r="J241" s="18" t="s">
        <v>199</v>
      </c>
      <c r="K241" s="18" t="s">
        <v>200</v>
      </c>
      <c r="L241" s="8" t="s">
        <v>67</v>
      </c>
      <c r="M241" s="8" t="s">
        <v>68</v>
      </c>
    </row>
    <row r="242" spans="1:13">
      <c r="A242" s="18" t="s">
        <v>77</v>
      </c>
      <c r="B242" s="18" t="s">
        <v>265</v>
      </c>
      <c r="C242" s="18" t="s">
        <v>261</v>
      </c>
      <c r="D242" s="18">
        <v>3.2</v>
      </c>
      <c r="E242" s="18" t="s">
        <v>221</v>
      </c>
      <c r="F242" s="18">
        <v>44</v>
      </c>
      <c r="G242" s="18">
        <v>1</v>
      </c>
      <c r="H242" s="18"/>
      <c r="I242" s="18"/>
      <c r="J242" s="18" t="s">
        <v>199</v>
      </c>
      <c r="K242" s="18" t="s">
        <v>200</v>
      </c>
      <c r="L242" s="8" t="s">
        <v>67</v>
      </c>
      <c r="M242" s="8" t="s">
        <v>68</v>
      </c>
    </row>
    <row r="243" spans="1:13">
      <c r="A243" s="18" t="s">
        <v>77</v>
      </c>
      <c r="B243" s="18" t="s">
        <v>265</v>
      </c>
      <c r="C243" s="18" t="s">
        <v>261</v>
      </c>
      <c r="D243" s="18">
        <v>3.2</v>
      </c>
      <c r="E243" s="18" t="s">
        <v>222</v>
      </c>
      <c r="F243" s="18">
        <v>51</v>
      </c>
      <c r="G243" s="18">
        <v>1</v>
      </c>
      <c r="H243" s="18"/>
      <c r="I243" s="18"/>
      <c r="J243" s="18" t="s">
        <v>199</v>
      </c>
      <c r="K243" s="18" t="s">
        <v>200</v>
      </c>
      <c r="L243" s="8" t="s">
        <v>114</v>
      </c>
      <c r="M243" s="8" t="s">
        <v>115</v>
      </c>
    </row>
    <row r="244" spans="1:13">
      <c r="A244" s="18" t="s">
        <v>77</v>
      </c>
      <c r="B244" s="18" t="s">
        <v>265</v>
      </c>
      <c r="C244" s="18" t="s">
        <v>261</v>
      </c>
      <c r="D244" s="18">
        <v>3.2</v>
      </c>
      <c r="E244" s="18" t="s">
        <v>112</v>
      </c>
      <c r="F244" s="18">
        <v>53</v>
      </c>
      <c r="G244" s="18">
        <v>1</v>
      </c>
      <c r="H244" s="18"/>
      <c r="I244" s="18"/>
      <c r="J244" s="18" t="s">
        <v>199</v>
      </c>
      <c r="K244" s="18" t="s">
        <v>200</v>
      </c>
      <c r="L244" s="8" t="s">
        <v>86</v>
      </c>
      <c r="M244" s="8" t="s">
        <v>87</v>
      </c>
    </row>
    <row r="245" spans="1:13">
      <c r="A245" s="18" t="s">
        <v>77</v>
      </c>
      <c r="B245" s="18" t="s">
        <v>265</v>
      </c>
      <c r="C245" s="18" t="s">
        <v>261</v>
      </c>
      <c r="D245" s="18">
        <v>3.2</v>
      </c>
      <c r="E245" s="18" t="s">
        <v>116</v>
      </c>
      <c r="F245" s="18">
        <v>58</v>
      </c>
      <c r="G245" s="18">
        <v>1</v>
      </c>
      <c r="H245" s="18"/>
      <c r="I245" s="18"/>
      <c r="J245" s="18" t="s">
        <v>199</v>
      </c>
      <c r="K245" s="18" t="s">
        <v>200</v>
      </c>
      <c r="L245" s="8" t="s">
        <v>102</v>
      </c>
      <c r="M245" s="8" t="s">
        <v>103</v>
      </c>
    </row>
    <row r="246" spans="1:13">
      <c r="A246" s="18" t="s">
        <v>77</v>
      </c>
      <c r="B246" s="18" t="s">
        <v>265</v>
      </c>
      <c r="C246" s="18" t="s">
        <v>261</v>
      </c>
      <c r="D246" s="18">
        <v>3.2</v>
      </c>
      <c r="E246" s="18" t="s">
        <v>117</v>
      </c>
      <c r="F246" s="18">
        <v>59</v>
      </c>
      <c r="G246" s="18">
        <v>1</v>
      </c>
      <c r="H246" s="19"/>
      <c r="I246" s="19"/>
      <c r="J246" s="18" t="s">
        <v>199</v>
      </c>
      <c r="K246" s="18" t="s">
        <v>200</v>
      </c>
      <c r="L246" s="8" t="s">
        <v>102</v>
      </c>
      <c r="M246" s="8" t="s">
        <v>103</v>
      </c>
    </row>
    <row r="247" spans="1:13">
      <c r="A247" s="18" t="s">
        <v>77</v>
      </c>
      <c r="B247" s="18" t="s">
        <v>265</v>
      </c>
      <c r="C247" s="18" t="s">
        <v>261</v>
      </c>
      <c r="D247" s="18">
        <v>3.2</v>
      </c>
      <c r="E247" s="18" t="s">
        <v>204</v>
      </c>
      <c r="F247" s="18">
        <v>60</v>
      </c>
      <c r="G247" s="18">
        <v>1</v>
      </c>
      <c r="H247" s="18"/>
      <c r="I247" s="18"/>
      <c r="J247" s="18" t="s">
        <v>199</v>
      </c>
      <c r="K247" s="18" t="s">
        <v>200</v>
      </c>
      <c r="L247" s="8" t="s">
        <v>259</v>
      </c>
      <c r="M247" s="8" t="s">
        <v>260</v>
      </c>
    </row>
    <row r="248" spans="1:13">
      <c r="A248" s="18" t="s">
        <v>77</v>
      </c>
      <c r="B248" s="18" t="s">
        <v>265</v>
      </c>
      <c r="C248" s="18" t="s">
        <v>261</v>
      </c>
      <c r="D248" s="18">
        <v>3.2</v>
      </c>
      <c r="E248" s="18" t="s">
        <v>236</v>
      </c>
      <c r="F248" s="18">
        <v>79</v>
      </c>
      <c r="G248" s="18">
        <v>1</v>
      </c>
      <c r="H248" s="19"/>
      <c r="I248" s="19"/>
      <c r="J248" s="18" t="s">
        <v>199</v>
      </c>
      <c r="K248" s="18" t="s">
        <v>200</v>
      </c>
      <c r="L248" s="8" t="s">
        <v>259</v>
      </c>
      <c r="M248" s="8" t="s">
        <v>260</v>
      </c>
    </row>
    <row r="249" spans="1:13">
      <c r="A249" s="18" t="s">
        <v>77</v>
      </c>
      <c r="B249" s="18" t="s">
        <v>265</v>
      </c>
      <c r="C249" s="18" t="s">
        <v>261</v>
      </c>
      <c r="D249" s="18">
        <v>3.2</v>
      </c>
      <c r="E249" s="18" t="s">
        <v>129</v>
      </c>
      <c r="F249" s="18">
        <v>86</v>
      </c>
      <c r="G249" s="18">
        <v>1</v>
      </c>
      <c r="H249" s="19"/>
      <c r="I249" s="19"/>
      <c r="J249" s="18" t="s">
        <v>199</v>
      </c>
      <c r="K249" s="18" t="s">
        <v>200</v>
      </c>
      <c r="L249" s="8" t="s">
        <v>86</v>
      </c>
      <c r="M249" s="8" t="s">
        <v>87</v>
      </c>
    </row>
    <row r="250" spans="1:13">
      <c r="A250" s="18" t="s">
        <v>77</v>
      </c>
      <c r="B250" s="18" t="s">
        <v>265</v>
      </c>
      <c r="C250" s="18" t="s">
        <v>261</v>
      </c>
      <c r="D250" s="18">
        <v>3.2</v>
      </c>
      <c r="E250" s="18" t="s">
        <v>131</v>
      </c>
      <c r="F250" s="18">
        <v>89</v>
      </c>
      <c r="G250" s="18">
        <v>1</v>
      </c>
      <c r="H250" s="18"/>
      <c r="I250" s="18"/>
      <c r="J250" s="18" t="s">
        <v>199</v>
      </c>
      <c r="K250" s="18" t="s">
        <v>200</v>
      </c>
      <c r="L250" s="8" t="s">
        <v>26</v>
      </c>
      <c r="M250" s="8" t="s">
        <v>27</v>
      </c>
    </row>
    <row r="251" spans="1:13">
      <c r="A251" s="18" t="s">
        <v>77</v>
      </c>
      <c r="B251" s="18" t="s">
        <v>265</v>
      </c>
      <c r="C251" s="18" t="s">
        <v>261</v>
      </c>
      <c r="D251" s="18">
        <v>3.2</v>
      </c>
      <c r="E251" s="18" t="s">
        <v>58</v>
      </c>
      <c r="F251" s="18">
        <v>9</v>
      </c>
      <c r="G251" s="18">
        <v>1</v>
      </c>
      <c r="H251" s="19"/>
      <c r="I251" s="19"/>
      <c r="J251" s="18" t="s">
        <v>199</v>
      </c>
      <c r="K251" s="18" t="s">
        <v>200</v>
      </c>
      <c r="L251" s="8" t="s">
        <v>49</v>
      </c>
      <c r="M251" s="8" t="s">
        <v>50</v>
      </c>
    </row>
    <row r="252" spans="1:13">
      <c r="A252" s="18" t="s">
        <v>77</v>
      </c>
      <c r="B252" s="18" t="s">
        <v>265</v>
      </c>
      <c r="C252" s="18" t="s">
        <v>261</v>
      </c>
      <c r="D252" s="18">
        <v>3.2</v>
      </c>
      <c r="E252" s="18" t="s">
        <v>71</v>
      </c>
      <c r="F252" s="18">
        <v>14</v>
      </c>
      <c r="G252" s="18">
        <v>2</v>
      </c>
      <c r="H252" s="19">
        <v>75768</v>
      </c>
      <c r="I252" s="19" t="s">
        <v>48</v>
      </c>
      <c r="J252" s="18" t="s">
        <v>24</v>
      </c>
      <c r="K252" s="18" t="s">
        <v>205</v>
      </c>
      <c r="L252" s="8" t="s">
        <v>73</v>
      </c>
      <c r="M252" s="8" t="s">
        <v>74</v>
      </c>
    </row>
    <row r="253" spans="1:13">
      <c r="A253" s="18" t="s">
        <v>77</v>
      </c>
      <c r="B253" s="18" t="s">
        <v>265</v>
      </c>
      <c r="C253" s="18" t="s">
        <v>261</v>
      </c>
      <c r="D253" s="18">
        <v>3.2</v>
      </c>
      <c r="E253" s="18" t="s">
        <v>92</v>
      </c>
      <c r="F253" s="18">
        <v>23</v>
      </c>
      <c r="G253" s="18">
        <v>2</v>
      </c>
      <c r="H253" s="18" t="s">
        <v>31</v>
      </c>
      <c r="I253" s="18" t="s">
        <v>32</v>
      </c>
      <c r="J253" s="18" t="s">
        <v>199</v>
      </c>
      <c r="K253" s="18" t="s">
        <v>203</v>
      </c>
      <c r="L253" s="8" t="s">
        <v>49</v>
      </c>
      <c r="M253" s="8" t="s">
        <v>50</v>
      </c>
    </row>
    <row r="254" spans="1:13">
      <c r="A254" s="18" t="s">
        <v>77</v>
      </c>
      <c r="B254" s="18" t="s">
        <v>265</v>
      </c>
      <c r="C254" s="18" t="s">
        <v>261</v>
      </c>
      <c r="D254" s="18">
        <v>3.2</v>
      </c>
      <c r="E254" s="18" t="s">
        <v>98</v>
      </c>
      <c r="F254" s="18">
        <v>34</v>
      </c>
      <c r="G254" s="18">
        <v>2</v>
      </c>
      <c r="H254" s="19">
        <v>70764</v>
      </c>
      <c r="I254" s="19" t="s">
        <v>48</v>
      </c>
      <c r="J254" s="18" t="s">
        <v>199</v>
      </c>
      <c r="K254" s="18" t="s">
        <v>203</v>
      </c>
      <c r="L254" s="8" t="s">
        <v>86</v>
      </c>
      <c r="M254" s="8" t="s">
        <v>87</v>
      </c>
    </row>
    <row r="255" spans="1:13">
      <c r="A255" s="18" t="s">
        <v>77</v>
      </c>
      <c r="B255" s="18" t="s">
        <v>265</v>
      </c>
      <c r="C255" s="18" t="s">
        <v>261</v>
      </c>
      <c r="D255" s="18">
        <v>3.2</v>
      </c>
      <c r="E255" s="18" t="s">
        <v>108</v>
      </c>
      <c r="F255" s="18">
        <v>46</v>
      </c>
      <c r="G255" s="18">
        <v>1</v>
      </c>
      <c r="H255" s="18"/>
      <c r="I255" s="18"/>
      <c r="J255" s="18" t="s">
        <v>24</v>
      </c>
      <c r="K255" s="18" t="s">
        <v>55</v>
      </c>
      <c r="L255" s="8" t="s">
        <v>81</v>
      </c>
      <c r="M255" s="8" t="s">
        <v>82</v>
      </c>
    </row>
    <row r="256" spans="1:13">
      <c r="A256" s="18" t="s">
        <v>77</v>
      </c>
      <c r="B256" s="18" t="s">
        <v>265</v>
      </c>
      <c r="C256" s="18" t="s">
        <v>261</v>
      </c>
      <c r="D256" s="18">
        <v>3.2</v>
      </c>
      <c r="E256" s="18" t="s">
        <v>94</v>
      </c>
      <c r="F256" s="18">
        <v>28</v>
      </c>
      <c r="G256" s="18">
        <v>1</v>
      </c>
      <c r="H256" s="18"/>
      <c r="I256" s="18"/>
      <c r="J256" s="18" t="s">
        <v>24</v>
      </c>
      <c r="K256" s="18" t="s">
        <v>55</v>
      </c>
      <c r="L256" s="8" t="s">
        <v>39</v>
      </c>
      <c r="M256" s="8" t="s">
        <v>40</v>
      </c>
    </row>
    <row r="257" spans="1:13">
      <c r="A257" s="18" t="s">
        <v>77</v>
      </c>
      <c r="B257" s="18" t="s">
        <v>265</v>
      </c>
      <c r="C257" s="18" t="s">
        <v>261</v>
      </c>
      <c r="D257" s="18">
        <v>3.2</v>
      </c>
      <c r="E257" s="18" t="s">
        <v>95</v>
      </c>
      <c r="F257" s="18">
        <v>33</v>
      </c>
      <c r="G257" s="18">
        <v>2</v>
      </c>
      <c r="H257" s="19">
        <v>32660</v>
      </c>
      <c r="I257" s="19" t="s">
        <v>48</v>
      </c>
      <c r="J257" s="18" t="s">
        <v>24</v>
      </c>
      <c r="K257" s="18" t="s">
        <v>205</v>
      </c>
      <c r="L257" s="8" t="s">
        <v>96</v>
      </c>
      <c r="M257" s="8" t="s">
        <v>97</v>
      </c>
    </row>
    <row r="258" spans="1:13">
      <c r="A258" s="18" t="s">
        <v>77</v>
      </c>
      <c r="B258" s="18" t="s">
        <v>265</v>
      </c>
      <c r="C258" s="18" t="s">
        <v>261</v>
      </c>
      <c r="D258" s="18">
        <v>3.2</v>
      </c>
      <c r="E258" s="18" t="s">
        <v>124</v>
      </c>
      <c r="F258" s="18">
        <v>69</v>
      </c>
      <c r="G258" s="18">
        <v>2</v>
      </c>
      <c r="H258" s="19">
        <v>37781</v>
      </c>
      <c r="I258" s="19" t="s">
        <v>32</v>
      </c>
      <c r="J258" s="18" t="s">
        <v>24</v>
      </c>
      <c r="K258" s="18" t="s">
        <v>205</v>
      </c>
      <c r="L258" s="8" t="s">
        <v>102</v>
      </c>
      <c r="M258" s="8" t="s">
        <v>103</v>
      </c>
    </row>
    <row r="259" spans="1:13">
      <c r="A259" s="18" t="s">
        <v>77</v>
      </c>
      <c r="B259" s="18" t="s">
        <v>265</v>
      </c>
      <c r="C259" s="18" t="s">
        <v>261</v>
      </c>
      <c r="D259" s="18">
        <v>3.2</v>
      </c>
      <c r="E259" s="18" t="s">
        <v>122</v>
      </c>
      <c r="F259" s="18">
        <v>64</v>
      </c>
      <c r="G259" s="18">
        <v>1</v>
      </c>
      <c r="H259" s="19"/>
      <c r="I259" s="19"/>
      <c r="J259" s="18" t="s">
        <v>24</v>
      </c>
      <c r="K259" s="18" t="s">
        <v>25</v>
      </c>
      <c r="L259" s="8" t="s">
        <v>119</v>
      </c>
      <c r="M259" s="8" t="s">
        <v>120</v>
      </c>
    </row>
    <row r="260" spans="1:13">
      <c r="A260" s="18" t="s">
        <v>77</v>
      </c>
      <c r="B260" s="18" t="s">
        <v>265</v>
      </c>
      <c r="C260" s="18" t="s">
        <v>261</v>
      </c>
      <c r="D260" s="18">
        <v>3.2</v>
      </c>
      <c r="E260" s="18" t="s">
        <v>130</v>
      </c>
      <c r="F260" s="18">
        <v>88</v>
      </c>
      <c r="G260" s="18">
        <v>1</v>
      </c>
      <c r="H260" s="18"/>
      <c r="I260" s="18"/>
      <c r="J260" s="18" t="s">
        <v>24</v>
      </c>
      <c r="K260" s="18" t="s">
        <v>25</v>
      </c>
      <c r="L260" s="8" t="s">
        <v>49</v>
      </c>
      <c r="M260" s="8" t="s">
        <v>50</v>
      </c>
    </row>
    <row r="261" spans="1:13">
      <c r="A261" s="18" t="s">
        <v>77</v>
      </c>
      <c r="B261" s="18" t="s">
        <v>265</v>
      </c>
      <c r="C261" s="18" t="s">
        <v>261</v>
      </c>
      <c r="D261" s="18">
        <v>3.2</v>
      </c>
      <c r="E261" s="18" t="s">
        <v>121</v>
      </c>
      <c r="F261" s="18">
        <v>63</v>
      </c>
      <c r="G261" s="18">
        <v>1</v>
      </c>
      <c r="H261" s="18"/>
      <c r="I261" s="18"/>
      <c r="J261" s="18" t="s">
        <v>24</v>
      </c>
      <c r="K261" s="18" t="s">
        <v>25</v>
      </c>
      <c r="L261" s="8" t="s">
        <v>119</v>
      </c>
      <c r="M261" s="8" t="s">
        <v>120</v>
      </c>
    </row>
    <row r="262" spans="1:13">
      <c r="A262" s="18" t="s">
        <v>77</v>
      </c>
      <c r="B262" s="18" t="s">
        <v>265</v>
      </c>
      <c r="C262" s="18" t="s">
        <v>261</v>
      </c>
      <c r="D262" s="18">
        <v>3.2</v>
      </c>
      <c r="E262" s="18" t="s">
        <v>125</v>
      </c>
      <c r="F262" s="18">
        <v>72</v>
      </c>
      <c r="G262" s="18">
        <v>1</v>
      </c>
      <c r="H262" s="19"/>
      <c r="I262" s="19"/>
      <c r="J262" s="18" t="s">
        <v>24</v>
      </c>
      <c r="K262" s="18" t="s">
        <v>25</v>
      </c>
      <c r="L262" s="8" t="s">
        <v>96</v>
      </c>
      <c r="M262" s="8" t="s">
        <v>97</v>
      </c>
    </row>
    <row r="263" spans="1:13">
      <c r="A263" s="18" t="s">
        <v>77</v>
      </c>
      <c r="B263" s="18" t="s">
        <v>265</v>
      </c>
      <c r="C263" s="18" t="s">
        <v>261</v>
      </c>
      <c r="D263" s="18">
        <v>3.2</v>
      </c>
      <c r="E263" s="18" t="s">
        <v>113</v>
      </c>
      <c r="F263" s="18">
        <v>57</v>
      </c>
      <c r="G263" s="18">
        <v>1</v>
      </c>
      <c r="H263" s="18"/>
      <c r="I263" s="18"/>
      <c r="J263" s="18" t="s">
        <v>24</v>
      </c>
      <c r="K263" s="18" t="s">
        <v>25</v>
      </c>
      <c r="L263" s="8" t="s">
        <v>114</v>
      </c>
      <c r="M263" s="8" t="s">
        <v>115</v>
      </c>
    </row>
    <row r="264" spans="1:13">
      <c r="A264" s="18" t="s">
        <v>77</v>
      </c>
      <c r="B264" s="18" t="s">
        <v>265</v>
      </c>
      <c r="C264" s="18" t="s">
        <v>261</v>
      </c>
      <c r="D264" s="18">
        <v>3.2</v>
      </c>
      <c r="E264" s="18" t="s">
        <v>100</v>
      </c>
      <c r="F264" s="18">
        <v>36</v>
      </c>
      <c r="G264" s="18">
        <v>1</v>
      </c>
      <c r="H264" s="18"/>
      <c r="I264" s="18"/>
      <c r="J264" s="18" t="s">
        <v>24</v>
      </c>
      <c r="K264" s="18" t="s">
        <v>25</v>
      </c>
      <c r="L264" s="8" t="s">
        <v>26</v>
      </c>
      <c r="M264" s="8" t="s">
        <v>27</v>
      </c>
    </row>
    <row r="265" spans="1:13">
      <c r="A265" s="18" t="s">
        <v>83</v>
      </c>
      <c r="B265" s="18" t="s">
        <v>265</v>
      </c>
      <c r="C265" s="18" t="s">
        <v>262</v>
      </c>
      <c r="D265" s="18">
        <v>3.3</v>
      </c>
      <c r="E265" s="8" t="s">
        <v>58</v>
      </c>
      <c r="F265" s="8">
        <v>9</v>
      </c>
      <c r="G265" s="8">
        <v>1</v>
      </c>
      <c r="H265" s="7"/>
      <c r="I265" s="7"/>
      <c r="J265" s="8" t="s">
        <v>199</v>
      </c>
      <c r="K265" s="8" t="s">
        <v>200</v>
      </c>
      <c r="L265" s="8" t="s">
        <v>49</v>
      </c>
      <c r="M265" s="8" t="s">
        <v>50</v>
      </c>
    </row>
    <row r="266" spans="1:13">
      <c r="A266" s="18" t="s">
        <v>83</v>
      </c>
      <c r="B266" s="18" t="s">
        <v>265</v>
      </c>
      <c r="C266" s="18" t="s">
        <v>262</v>
      </c>
      <c r="D266" s="18">
        <v>3.3</v>
      </c>
      <c r="E266" s="8" t="s">
        <v>71</v>
      </c>
      <c r="F266" s="8">
        <v>14</v>
      </c>
      <c r="G266" s="8">
        <v>1</v>
      </c>
      <c r="H266" s="7"/>
      <c r="I266" s="7"/>
      <c r="J266" s="8" t="s">
        <v>199</v>
      </c>
      <c r="K266" s="8" t="s">
        <v>200</v>
      </c>
      <c r="L266" s="8" t="s">
        <v>73</v>
      </c>
      <c r="M266" s="8" t="s">
        <v>74</v>
      </c>
    </row>
    <row r="267" spans="1:13">
      <c r="A267" s="18" t="s">
        <v>83</v>
      </c>
      <c r="B267" s="18" t="s">
        <v>265</v>
      </c>
      <c r="C267" s="18" t="s">
        <v>262</v>
      </c>
      <c r="D267" s="18">
        <v>3.3</v>
      </c>
      <c r="E267" s="8" t="s">
        <v>211</v>
      </c>
      <c r="F267" s="8">
        <v>17</v>
      </c>
      <c r="G267" s="8">
        <v>1</v>
      </c>
      <c r="H267" s="7"/>
      <c r="I267" s="7"/>
      <c r="J267" s="8" t="s">
        <v>199</v>
      </c>
      <c r="K267" s="8" t="s">
        <v>200</v>
      </c>
      <c r="L267" s="8" t="s">
        <v>86</v>
      </c>
      <c r="M267" s="8" t="s">
        <v>87</v>
      </c>
    </row>
    <row r="268" spans="1:13">
      <c r="A268" s="18" t="s">
        <v>83</v>
      </c>
      <c r="B268" s="18" t="s">
        <v>265</v>
      </c>
      <c r="C268" s="18" t="s">
        <v>262</v>
      </c>
      <c r="D268" s="18">
        <v>3.3</v>
      </c>
      <c r="E268" s="8" t="s">
        <v>80</v>
      </c>
      <c r="F268" s="8">
        <v>20</v>
      </c>
      <c r="G268" s="8">
        <v>1</v>
      </c>
      <c r="H268" s="8"/>
      <c r="I268" s="8"/>
      <c r="J268" s="8" t="s">
        <v>24</v>
      </c>
      <c r="K268" s="8" t="s">
        <v>55</v>
      </c>
      <c r="L268" s="8" t="s">
        <v>81</v>
      </c>
      <c r="M268" s="8" t="s">
        <v>82</v>
      </c>
    </row>
    <row r="269" spans="1:13">
      <c r="A269" s="18" t="s">
        <v>83</v>
      </c>
      <c r="B269" s="18" t="s">
        <v>265</v>
      </c>
      <c r="C269" s="18" t="s">
        <v>262</v>
      </c>
      <c r="D269" s="18">
        <v>3.3</v>
      </c>
      <c r="E269" s="8" t="s">
        <v>224</v>
      </c>
      <c r="F269" s="8">
        <v>24</v>
      </c>
      <c r="G269" s="8">
        <v>1</v>
      </c>
      <c r="H269" s="7"/>
      <c r="I269" s="7"/>
      <c r="J269" s="8" t="s">
        <v>199</v>
      </c>
      <c r="K269" s="8" t="s">
        <v>200</v>
      </c>
      <c r="L269" s="8" t="s">
        <v>49</v>
      </c>
      <c r="M269" s="8" t="s">
        <v>50</v>
      </c>
    </row>
    <row r="270" spans="1:13">
      <c r="A270" s="18" t="s">
        <v>83</v>
      </c>
      <c r="B270" s="18" t="s">
        <v>265</v>
      </c>
      <c r="C270" s="18" t="s">
        <v>262</v>
      </c>
      <c r="D270" s="18">
        <v>3.3</v>
      </c>
      <c r="E270" s="8" t="s">
        <v>249</v>
      </c>
      <c r="F270" s="8">
        <v>26</v>
      </c>
      <c r="G270" s="8">
        <v>1</v>
      </c>
      <c r="H270" s="8"/>
      <c r="I270" s="8"/>
      <c r="J270" s="8" t="s">
        <v>199</v>
      </c>
      <c r="K270" s="8" t="s">
        <v>200</v>
      </c>
      <c r="L270" s="8" t="s">
        <v>102</v>
      </c>
      <c r="M270" s="8" t="s">
        <v>103</v>
      </c>
    </row>
    <row r="271" spans="1:13">
      <c r="A271" s="18" t="s">
        <v>83</v>
      </c>
      <c r="B271" s="18" t="s">
        <v>265</v>
      </c>
      <c r="C271" s="18" t="s">
        <v>262</v>
      </c>
      <c r="D271" s="18">
        <v>3.3</v>
      </c>
      <c r="E271" s="8" t="s">
        <v>94</v>
      </c>
      <c r="F271" s="8">
        <v>28</v>
      </c>
      <c r="G271" s="8">
        <v>1</v>
      </c>
      <c r="H271" s="8"/>
      <c r="I271" s="8"/>
      <c r="J271" s="8" t="s">
        <v>24</v>
      </c>
      <c r="K271" s="8" t="s">
        <v>55</v>
      </c>
      <c r="L271" s="8" t="s">
        <v>39</v>
      </c>
      <c r="M271" s="8" t="s">
        <v>40</v>
      </c>
    </row>
    <row r="272" spans="1:13">
      <c r="A272" s="18" t="s">
        <v>83</v>
      </c>
      <c r="B272" s="18" t="s">
        <v>265</v>
      </c>
      <c r="C272" s="18" t="s">
        <v>262</v>
      </c>
      <c r="D272" s="18">
        <v>3.3</v>
      </c>
      <c r="E272" s="8" t="s">
        <v>95</v>
      </c>
      <c r="F272" s="8">
        <v>33</v>
      </c>
      <c r="G272" s="8">
        <v>2</v>
      </c>
      <c r="H272" s="8" t="s">
        <v>31</v>
      </c>
      <c r="I272" s="8" t="s">
        <v>48</v>
      </c>
      <c r="J272" s="8" t="s">
        <v>24</v>
      </c>
      <c r="K272" s="8" t="s">
        <v>205</v>
      </c>
      <c r="L272" s="8" t="s">
        <v>96</v>
      </c>
      <c r="M272" s="8" t="s">
        <v>97</v>
      </c>
    </row>
    <row r="273" spans="1:13">
      <c r="A273" s="18" t="s">
        <v>83</v>
      </c>
      <c r="B273" s="18" t="s">
        <v>265</v>
      </c>
      <c r="C273" s="18" t="s">
        <v>262</v>
      </c>
      <c r="D273" s="18">
        <v>3.3</v>
      </c>
      <c r="E273" s="8" t="s">
        <v>100</v>
      </c>
      <c r="F273" s="8">
        <v>36</v>
      </c>
      <c r="G273" s="8">
        <v>1</v>
      </c>
      <c r="H273" s="8"/>
      <c r="I273" s="8"/>
      <c r="J273" s="8" t="s">
        <v>24</v>
      </c>
      <c r="K273" s="8" t="s">
        <v>25</v>
      </c>
      <c r="L273" s="8" t="s">
        <v>26</v>
      </c>
      <c r="M273" s="8" t="s">
        <v>27</v>
      </c>
    </row>
    <row r="274" spans="1:13">
      <c r="A274" s="18" t="s">
        <v>83</v>
      </c>
      <c r="B274" s="18" t="s">
        <v>265</v>
      </c>
      <c r="C274" s="18" t="s">
        <v>262</v>
      </c>
      <c r="D274" s="18">
        <v>3.3</v>
      </c>
      <c r="E274" s="8" t="s">
        <v>250</v>
      </c>
      <c r="F274" s="8">
        <v>40</v>
      </c>
      <c r="G274" s="8">
        <v>1</v>
      </c>
      <c r="H274" s="8"/>
      <c r="I274" s="8"/>
      <c r="J274" s="8" t="s">
        <v>199</v>
      </c>
      <c r="K274" s="8" t="s">
        <v>200</v>
      </c>
      <c r="L274" s="8" t="s">
        <v>259</v>
      </c>
      <c r="M274" s="8" t="s">
        <v>260</v>
      </c>
    </row>
    <row r="275" spans="1:13">
      <c r="A275" s="18" t="s">
        <v>83</v>
      </c>
      <c r="B275" s="18" t="s">
        <v>265</v>
      </c>
      <c r="C275" s="18" t="s">
        <v>262</v>
      </c>
      <c r="D275" s="18">
        <v>3.3</v>
      </c>
      <c r="E275" s="8" t="s">
        <v>105</v>
      </c>
      <c r="F275" s="8">
        <v>41</v>
      </c>
      <c r="G275" s="8">
        <v>1</v>
      </c>
      <c r="H275" s="7"/>
      <c r="I275" s="7"/>
      <c r="J275" s="8" t="s">
        <v>24</v>
      </c>
      <c r="K275" s="8" t="s">
        <v>25</v>
      </c>
      <c r="L275" s="8" t="s">
        <v>67</v>
      </c>
      <c r="M275" s="8" t="s">
        <v>68</v>
      </c>
    </row>
    <row r="276" spans="1:13">
      <c r="A276" s="18" t="s">
        <v>83</v>
      </c>
      <c r="B276" s="18" t="s">
        <v>265</v>
      </c>
      <c r="C276" s="18" t="s">
        <v>262</v>
      </c>
      <c r="D276" s="18">
        <v>3.3</v>
      </c>
      <c r="E276" s="8" t="s">
        <v>108</v>
      </c>
      <c r="F276" s="8">
        <v>46</v>
      </c>
      <c r="G276" s="8">
        <v>1</v>
      </c>
      <c r="H276" s="8"/>
      <c r="I276" s="8"/>
      <c r="J276" s="8" t="s">
        <v>24</v>
      </c>
      <c r="K276" s="8" t="s">
        <v>55</v>
      </c>
      <c r="L276" s="8" t="s">
        <v>81</v>
      </c>
      <c r="M276" s="8" t="s">
        <v>82</v>
      </c>
    </row>
    <row r="277" spans="1:13">
      <c r="A277" s="18" t="s">
        <v>83</v>
      </c>
      <c r="B277" s="18" t="s">
        <v>265</v>
      </c>
      <c r="C277" s="18" t="s">
        <v>262</v>
      </c>
      <c r="D277" s="18">
        <v>3.3</v>
      </c>
      <c r="E277" s="8" t="s">
        <v>112</v>
      </c>
      <c r="F277" s="8">
        <v>53</v>
      </c>
      <c r="G277" s="8">
        <v>2</v>
      </c>
      <c r="H277" s="8">
        <v>50256</v>
      </c>
      <c r="I277" s="8" t="s">
        <v>48</v>
      </c>
      <c r="J277" s="8" t="s">
        <v>24</v>
      </c>
      <c r="K277" s="8" t="s">
        <v>205</v>
      </c>
      <c r="L277" s="8" t="s">
        <v>86</v>
      </c>
      <c r="M277" s="8" t="s">
        <v>87</v>
      </c>
    </row>
    <row r="278" spans="1:13">
      <c r="A278" s="18" t="s">
        <v>83</v>
      </c>
      <c r="B278" s="18" t="s">
        <v>265</v>
      </c>
      <c r="C278" s="18" t="s">
        <v>262</v>
      </c>
      <c r="D278" s="18">
        <v>3.3</v>
      </c>
      <c r="E278" s="8" t="s">
        <v>113</v>
      </c>
      <c r="F278" s="8">
        <v>57</v>
      </c>
      <c r="G278" s="8">
        <v>1</v>
      </c>
      <c r="H278" s="7"/>
      <c r="I278" s="7"/>
      <c r="J278" s="8" t="s">
        <v>24</v>
      </c>
      <c r="K278" s="8" t="s">
        <v>25</v>
      </c>
      <c r="L278" s="8" t="s">
        <v>114</v>
      </c>
      <c r="M278" s="8" t="s">
        <v>115</v>
      </c>
    </row>
    <row r="279" spans="1:13">
      <c r="A279" s="18" t="s">
        <v>83</v>
      </c>
      <c r="B279" s="18" t="s">
        <v>265</v>
      </c>
      <c r="C279" s="18" t="s">
        <v>262</v>
      </c>
      <c r="D279" s="18">
        <v>3.3</v>
      </c>
      <c r="E279" s="8" t="s">
        <v>116</v>
      </c>
      <c r="F279" s="8">
        <v>58</v>
      </c>
      <c r="G279" s="8">
        <v>1</v>
      </c>
      <c r="H279" s="8"/>
      <c r="I279" s="8"/>
      <c r="J279" s="8" t="s">
        <v>199</v>
      </c>
      <c r="K279" s="8" t="s">
        <v>200</v>
      </c>
      <c r="L279" s="8" t="s">
        <v>102</v>
      </c>
      <c r="M279" s="8" t="s">
        <v>103</v>
      </c>
    </row>
    <row r="280" spans="1:13">
      <c r="A280" s="18" t="s">
        <v>83</v>
      </c>
      <c r="B280" s="18" t="s">
        <v>265</v>
      </c>
      <c r="C280" s="18" t="s">
        <v>262</v>
      </c>
      <c r="D280" s="18">
        <v>3.3</v>
      </c>
      <c r="E280" s="8" t="s">
        <v>117</v>
      </c>
      <c r="F280" s="8">
        <v>59</v>
      </c>
      <c r="G280" s="8">
        <v>1</v>
      </c>
      <c r="H280" s="7"/>
      <c r="I280" s="7"/>
      <c r="J280" s="8" t="s">
        <v>199</v>
      </c>
      <c r="K280" s="8" t="s">
        <v>200</v>
      </c>
      <c r="L280" s="8" t="s">
        <v>102</v>
      </c>
      <c r="M280" s="8" t="s">
        <v>103</v>
      </c>
    </row>
    <row r="281" spans="1:13">
      <c r="A281" s="18" t="s">
        <v>83</v>
      </c>
      <c r="B281" s="18" t="s">
        <v>265</v>
      </c>
      <c r="C281" s="18" t="s">
        <v>262</v>
      </c>
      <c r="D281" s="18">
        <v>3.3</v>
      </c>
      <c r="E281" s="8" t="s">
        <v>118</v>
      </c>
      <c r="F281" s="8">
        <v>62</v>
      </c>
      <c r="G281" s="8">
        <v>1</v>
      </c>
      <c r="H281" s="7"/>
      <c r="I281" s="7"/>
      <c r="J281" s="8" t="s">
        <v>199</v>
      </c>
      <c r="K281" s="8" t="s">
        <v>200</v>
      </c>
      <c r="L281" s="8" t="s">
        <v>119</v>
      </c>
      <c r="M281" s="8" t="s">
        <v>120</v>
      </c>
    </row>
    <row r="282" spans="1:13">
      <c r="A282" s="18" t="s">
        <v>83</v>
      </c>
      <c r="B282" s="18" t="s">
        <v>265</v>
      </c>
      <c r="C282" s="18" t="s">
        <v>262</v>
      </c>
      <c r="D282" s="18">
        <v>3.3</v>
      </c>
      <c r="E282" s="8" t="s">
        <v>121</v>
      </c>
      <c r="F282" s="8">
        <v>63</v>
      </c>
      <c r="G282" s="8">
        <v>1</v>
      </c>
      <c r="H282" s="8"/>
      <c r="I282" s="8"/>
      <c r="J282" s="8" t="s">
        <v>24</v>
      </c>
      <c r="K282" s="8" t="s">
        <v>55</v>
      </c>
      <c r="L282" s="8" t="s">
        <v>119</v>
      </c>
      <c r="M282" s="8" t="s">
        <v>120</v>
      </c>
    </row>
    <row r="283" spans="1:13">
      <c r="A283" s="18" t="s">
        <v>83</v>
      </c>
      <c r="B283" s="18" t="s">
        <v>265</v>
      </c>
      <c r="C283" s="18" t="s">
        <v>262</v>
      </c>
      <c r="D283" s="18">
        <v>3.3</v>
      </c>
      <c r="E283" s="8" t="s">
        <v>122</v>
      </c>
      <c r="F283" s="8">
        <v>64</v>
      </c>
      <c r="G283" s="8">
        <v>2</v>
      </c>
      <c r="H283" s="8">
        <v>80299</v>
      </c>
      <c r="I283" s="8" t="s">
        <v>32</v>
      </c>
      <c r="J283" s="8" t="s">
        <v>24</v>
      </c>
      <c r="K283" s="8" t="s">
        <v>205</v>
      </c>
      <c r="L283" s="8" t="s">
        <v>119</v>
      </c>
      <c r="M283" s="8" t="s">
        <v>120</v>
      </c>
    </row>
    <row r="284" spans="1:13">
      <c r="A284" s="18" t="s">
        <v>83</v>
      </c>
      <c r="B284" s="18" t="s">
        <v>265</v>
      </c>
      <c r="C284" s="18" t="s">
        <v>262</v>
      </c>
      <c r="D284" s="18">
        <v>3.3</v>
      </c>
      <c r="E284" s="8" t="s">
        <v>123</v>
      </c>
      <c r="F284" s="8">
        <v>68</v>
      </c>
      <c r="G284" s="8">
        <v>1</v>
      </c>
      <c r="H284" s="8"/>
      <c r="I284" s="8"/>
      <c r="J284" s="8" t="s">
        <v>199</v>
      </c>
      <c r="K284" s="8" t="s">
        <v>200</v>
      </c>
      <c r="L284" s="8" t="s">
        <v>110</v>
      </c>
      <c r="M284" s="8" t="s">
        <v>111</v>
      </c>
    </row>
    <row r="285" spans="1:13">
      <c r="A285" s="18" t="s">
        <v>83</v>
      </c>
      <c r="B285" s="18" t="s">
        <v>265</v>
      </c>
      <c r="C285" s="18" t="s">
        <v>262</v>
      </c>
      <c r="D285" s="18">
        <v>3.3</v>
      </c>
      <c r="E285" s="8" t="s">
        <v>124</v>
      </c>
      <c r="F285" s="8">
        <v>69</v>
      </c>
      <c r="G285" s="8">
        <v>1</v>
      </c>
      <c r="H285" s="8"/>
      <c r="I285" s="8"/>
      <c r="J285" s="8" t="s">
        <v>199</v>
      </c>
      <c r="K285" s="8" t="s">
        <v>200</v>
      </c>
      <c r="L285" s="8" t="s">
        <v>102</v>
      </c>
      <c r="M285" s="8" t="s">
        <v>103</v>
      </c>
    </row>
    <row r="286" spans="1:13">
      <c r="A286" s="18" t="s">
        <v>83</v>
      </c>
      <c r="B286" s="18" t="s">
        <v>265</v>
      </c>
      <c r="C286" s="18" t="s">
        <v>262</v>
      </c>
      <c r="D286" s="18">
        <v>3.3</v>
      </c>
      <c r="E286" s="8" t="s">
        <v>125</v>
      </c>
      <c r="F286" s="8">
        <v>72</v>
      </c>
      <c r="G286" s="8">
        <v>1</v>
      </c>
      <c r="H286" s="7"/>
      <c r="I286" s="7"/>
      <c r="J286" s="8" t="s">
        <v>24</v>
      </c>
      <c r="K286" s="8" t="s">
        <v>55</v>
      </c>
      <c r="L286" s="8" t="s">
        <v>96</v>
      </c>
      <c r="M286" s="8" t="s">
        <v>97</v>
      </c>
    </row>
    <row r="287" spans="1:13">
      <c r="A287" s="18" t="s">
        <v>83</v>
      </c>
      <c r="B287" s="18" t="s">
        <v>265</v>
      </c>
      <c r="C287" s="18" t="s">
        <v>262</v>
      </c>
      <c r="D287" s="18">
        <v>3.3</v>
      </c>
      <c r="E287" s="8" t="s">
        <v>130</v>
      </c>
      <c r="F287" s="8">
        <v>88</v>
      </c>
      <c r="G287" s="8">
        <v>1</v>
      </c>
      <c r="H287" s="7"/>
      <c r="I287" s="7"/>
      <c r="J287" s="8" t="s">
        <v>199</v>
      </c>
      <c r="K287" s="8" t="s">
        <v>200</v>
      </c>
      <c r="L287" s="8" t="s">
        <v>49</v>
      </c>
      <c r="M287" s="8" t="s">
        <v>50</v>
      </c>
    </row>
    <row r="288" spans="1:13">
      <c r="A288" s="18" t="s">
        <v>53</v>
      </c>
      <c r="B288" s="18" t="s">
        <v>265</v>
      </c>
      <c r="C288" s="18" t="s">
        <v>263</v>
      </c>
      <c r="D288" s="18">
        <v>3.4</v>
      </c>
      <c r="E288" s="18" t="s">
        <v>58</v>
      </c>
      <c r="F288" s="18">
        <v>9</v>
      </c>
      <c r="G288" s="18">
        <v>1</v>
      </c>
      <c r="H288" s="19"/>
      <c r="I288" s="19"/>
      <c r="J288" s="18" t="s">
        <v>199</v>
      </c>
      <c r="K288" s="18" t="s">
        <v>200</v>
      </c>
      <c r="L288" s="8" t="s">
        <v>49</v>
      </c>
      <c r="M288" s="8" t="s">
        <v>50</v>
      </c>
    </row>
    <row r="289" spans="1:13">
      <c r="A289" s="18" t="s">
        <v>53</v>
      </c>
      <c r="B289" s="18" t="s">
        <v>265</v>
      </c>
      <c r="C289" s="18" t="s">
        <v>263</v>
      </c>
      <c r="D289" s="18">
        <v>3.4</v>
      </c>
      <c r="E289" s="18" t="s">
        <v>211</v>
      </c>
      <c r="F289" s="18">
        <v>17</v>
      </c>
      <c r="G289" s="18">
        <v>1</v>
      </c>
      <c r="H289" s="19"/>
      <c r="I289" s="19"/>
      <c r="J289" s="18" t="s">
        <v>199</v>
      </c>
      <c r="K289" s="18" t="s">
        <v>200</v>
      </c>
      <c r="L289" s="8" t="s">
        <v>86</v>
      </c>
      <c r="M289" s="8" t="s">
        <v>87</v>
      </c>
    </row>
    <row r="290" spans="1:13">
      <c r="A290" s="18" t="s">
        <v>53</v>
      </c>
      <c r="B290" s="18" t="s">
        <v>265</v>
      </c>
      <c r="C290" s="18" t="s">
        <v>263</v>
      </c>
      <c r="D290" s="18">
        <v>3.4</v>
      </c>
      <c r="E290" s="18" t="s">
        <v>251</v>
      </c>
      <c r="F290" s="18">
        <v>21</v>
      </c>
      <c r="G290" s="18">
        <v>1</v>
      </c>
      <c r="H290" s="18"/>
      <c r="I290" s="18"/>
      <c r="J290" s="18" t="s">
        <v>199</v>
      </c>
      <c r="K290" s="18" t="s">
        <v>200</v>
      </c>
      <c r="L290" s="8" t="s">
        <v>102</v>
      </c>
      <c r="M290" s="8" t="s">
        <v>103</v>
      </c>
    </row>
    <row r="291" spans="1:13">
      <c r="A291" s="18" t="s">
        <v>53</v>
      </c>
      <c r="B291" s="18" t="s">
        <v>265</v>
      </c>
      <c r="C291" s="18" t="s">
        <v>263</v>
      </c>
      <c r="D291" s="18">
        <v>3.4</v>
      </c>
      <c r="E291" s="18" t="s">
        <v>85</v>
      </c>
      <c r="F291" s="18">
        <v>22</v>
      </c>
      <c r="G291" s="18">
        <v>1</v>
      </c>
      <c r="H291" s="19"/>
      <c r="I291" s="19"/>
      <c r="J291" s="18" t="s">
        <v>199</v>
      </c>
      <c r="K291" s="18" t="s">
        <v>200</v>
      </c>
      <c r="L291" s="8" t="s">
        <v>86</v>
      </c>
      <c r="M291" s="8" t="s">
        <v>87</v>
      </c>
    </row>
    <row r="292" spans="1:13">
      <c r="A292" s="18" t="s">
        <v>53</v>
      </c>
      <c r="B292" s="18" t="s">
        <v>265</v>
      </c>
      <c r="C292" s="18" t="s">
        <v>263</v>
      </c>
      <c r="D292" s="18">
        <v>3.4</v>
      </c>
      <c r="E292" s="18" t="s">
        <v>232</v>
      </c>
      <c r="F292" s="18">
        <v>47</v>
      </c>
      <c r="G292" s="18">
        <v>1</v>
      </c>
      <c r="H292" s="18"/>
      <c r="I292" s="18"/>
      <c r="J292" s="18" t="s">
        <v>199</v>
      </c>
      <c r="K292" s="18" t="s">
        <v>200</v>
      </c>
      <c r="L292" s="8" t="s">
        <v>102</v>
      </c>
      <c r="M292" s="8" t="s">
        <v>103</v>
      </c>
    </row>
    <row r="293" spans="1:13">
      <c r="A293" s="18" t="s">
        <v>53</v>
      </c>
      <c r="B293" s="18" t="s">
        <v>265</v>
      </c>
      <c r="C293" s="18" t="s">
        <v>263</v>
      </c>
      <c r="D293" s="18">
        <v>3.4</v>
      </c>
      <c r="E293" s="18" t="s">
        <v>122</v>
      </c>
      <c r="F293" s="18">
        <v>64</v>
      </c>
      <c r="G293" s="18">
        <v>1</v>
      </c>
      <c r="H293" s="18"/>
      <c r="I293" s="18"/>
      <c r="J293" s="18" t="s">
        <v>199</v>
      </c>
      <c r="K293" s="18" t="s">
        <v>200</v>
      </c>
      <c r="L293" s="8" t="s">
        <v>119</v>
      </c>
      <c r="M293" s="8" t="s">
        <v>120</v>
      </c>
    </row>
    <row r="294" spans="1:13">
      <c r="A294" s="18" t="s">
        <v>53</v>
      </c>
      <c r="B294" s="18" t="s">
        <v>265</v>
      </c>
      <c r="C294" s="18" t="s">
        <v>263</v>
      </c>
      <c r="D294" s="18">
        <v>3.4</v>
      </c>
      <c r="E294" s="18" t="s">
        <v>113</v>
      </c>
      <c r="F294" s="18">
        <v>57</v>
      </c>
      <c r="G294" s="18">
        <v>2</v>
      </c>
      <c r="H294" s="19">
        <v>16895</v>
      </c>
      <c r="I294" s="18" t="s">
        <v>32</v>
      </c>
      <c r="J294" s="18" t="s">
        <v>24</v>
      </c>
      <c r="K294" s="18" t="s">
        <v>205</v>
      </c>
      <c r="L294" s="8" t="s">
        <v>114</v>
      </c>
      <c r="M294" s="8" t="s">
        <v>115</v>
      </c>
    </row>
    <row r="295" spans="1:13">
      <c r="A295" s="18" t="s">
        <v>53</v>
      </c>
      <c r="B295" s="18" t="s">
        <v>265</v>
      </c>
      <c r="C295" s="18" t="s">
        <v>263</v>
      </c>
      <c r="D295" s="18">
        <v>3.4</v>
      </c>
      <c r="E295" s="18" t="s">
        <v>125</v>
      </c>
      <c r="F295" s="18">
        <v>72</v>
      </c>
      <c r="G295" s="18">
        <v>2</v>
      </c>
      <c r="H295" s="18" t="s">
        <v>31</v>
      </c>
      <c r="I295" s="18" t="s">
        <v>32</v>
      </c>
      <c r="J295" s="18" t="s">
        <v>199</v>
      </c>
      <c r="K295" s="18" t="s">
        <v>203</v>
      </c>
      <c r="L295" s="8" t="s">
        <v>96</v>
      </c>
      <c r="M295" s="8" t="s">
        <v>97</v>
      </c>
    </row>
    <row r="296" spans="1:13">
      <c r="A296" s="18" t="s">
        <v>53</v>
      </c>
      <c r="B296" s="18" t="s">
        <v>265</v>
      </c>
      <c r="C296" s="18" t="s">
        <v>263</v>
      </c>
      <c r="D296" s="18">
        <v>3.4</v>
      </c>
      <c r="E296" s="18" t="s">
        <v>94</v>
      </c>
      <c r="F296" s="18">
        <v>28</v>
      </c>
      <c r="G296" s="18">
        <v>1</v>
      </c>
      <c r="H296" s="19"/>
      <c r="I296" s="19"/>
      <c r="J296" s="18" t="s">
        <v>24</v>
      </c>
      <c r="K296" s="18" t="s">
        <v>25</v>
      </c>
      <c r="L296" s="8" t="s">
        <v>39</v>
      </c>
      <c r="M296" s="8" t="s">
        <v>40</v>
      </c>
    </row>
    <row r="297" spans="1:13">
      <c r="A297" s="18" t="s">
        <v>53</v>
      </c>
      <c r="B297" s="18" t="s">
        <v>265</v>
      </c>
      <c r="C297" s="18" t="s">
        <v>263</v>
      </c>
      <c r="D297" s="18">
        <v>3.4</v>
      </c>
      <c r="E297" s="18" t="s">
        <v>95</v>
      </c>
      <c r="F297" s="18">
        <v>33</v>
      </c>
      <c r="G297" s="18">
        <v>1</v>
      </c>
      <c r="H297" s="18"/>
      <c r="I297" s="18"/>
      <c r="J297" s="18" t="s">
        <v>24</v>
      </c>
      <c r="K297" s="18" t="s">
        <v>55</v>
      </c>
      <c r="L297" s="8" t="s">
        <v>96</v>
      </c>
      <c r="M297" s="8" t="s">
        <v>97</v>
      </c>
    </row>
    <row r="298" spans="1:13">
      <c r="A298" s="18" t="s">
        <v>53</v>
      </c>
      <c r="B298" s="18" t="s">
        <v>265</v>
      </c>
      <c r="C298" s="18" t="s">
        <v>263</v>
      </c>
      <c r="D298" s="18">
        <v>3.4</v>
      </c>
      <c r="E298" s="18" t="s">
        <v>117</v>
      </c>
      <c r="F298" s="18">
        <v>59</v>
      </c>
      <c r="G298" s="18">
        <v>1</v>
      </c>
      <c r="H298" s="19"/>
      <c r="I298" s="19"/>
      <c r="J298" s="18" t="s">
        <v>24</v>
      </c>
      <c r="K298" s="18" t="s">
        <v>55</v>
      </c>
      <c r="L298" s="8" t="s">
        <v>102</v>
      </c>
      <c r="M298" s="8" t="s">
        <v>103</v>
      </c>
    </row>
    <row r="299" spans="1:13">
      <c r="A299" s="18" t="s">
        <v>53</v>
      </c>
      <c r="B299" s="18" t="s">
        <v>265</v>
      </c>
      <c r="C299" s="18" t="s">
        <v>263</v>
      </c>
      <c r="D299" s="18">
        <v>3.4</v>
      </c>
      <c r="E299" s="18" t="s">
        <v>118</v>
      </c>
      <c r="F299" s="18">
        <v>62</v>
      </c>
      <c r="G299" s="18">
        <v>1</v>
      </c>
      <c r="H299" s="19"/>
      <c r="I299" s="19"/>
      <c r="J299" s="18" t="s">
        <v>24</v>
      </c>
      <c r="K299" s="18" t="s">
        <v>55</v>
      </c>
      <c r="L299" s="8" t="s">
        <v>119</v>
      </c>
      <c r="M299" s="8" t="s">
        <v>120</v>
      </c>
    </row>
    <row r="300" spans="1:13">
      <c r="A300" s="18" t="s">
        <v>53</v>
      </c>
      <c r="B300" s="18" t="s">
        <v>265</v>
      </c>
      <c r="C300" s="18" t="s">
        <v>263</v>
      </c>
      <c r="D300" s="18">
        <v>3.4</v>
      </c>
      <c r="E300" s="18" t="s">
        <v>100</v>
      </c>
      <c r="F300" s="18">
        <v>36</v>
      </c>
      <c r="G300" s="18">
        <v>1</v>
      </c>
      <c r="H300" s="18"/>
      <c r="I300" s="18"/>
      <c r="J300" s="18" t="s">
        <v>24</v>
      </c>
      <c r="K300" s="18" t="s">
        <v>25</v>
      </c>
      <c r="L300" s="8" t="s">
        <v>26</v>
      </c>
      <c r="M300" s="8" t="s">
        <v>27</v>
      </c>
    </row>
    <row r="301" spans="1:13">
      <c r="A301" s="18" t="s">
        <v>53</v>
      </c>
      <c r="B301" s="18" t="s">
        <v>265</v>
      </c>
      <c r="C301" s="18" t="s">
        <v>263</v>
      </c>
      <c r="D301" s="18">
        <v>3.4</v>
      </c>
      <c r="E301" s="18" t="s">
        <v>124</v>
      </c>
      <c r="F301" s="18">
        <v>69</v>
      </c>
      <c r="G301" s="18">
        <v>1</v>
      </c>
      <c r="H301" s="19"/>
      <c r="I301" s="19"/>
      <c r="J301" s="18" t="s">
        <v>24</v>
      </c>
      <c r="K301" s="18" t="s">
        <v>25</v>
      </c>
      <c r="L301" s="8" t="s">
        <v>102</v>
      </c>
      <c r="M301" s="8" t="s">
        <v>103</v>
      </c>
    </row>
    <row r="302" spans="1:13">
      <c r="A302" s="18" t="s">
        <v>53</v>
      </c>
      <c r="B302" s="18" t="s">
        <v>265</v>
      </c>
      <c r="C302" s="18" t="s">
        <v>263</v>
      </c>
      <c r="D302" s="18">
        <v>3.4</v>
      </c>
      <c r="E302" s="18" t="s">
        <v>47</v>
      </c>
      <c r="F302" s="18">
        <v>8</v>
      </c>
      <c r="G302" s="18">
        <v>1</v>
      </c>
      <c r="H302" s="19"/>
      <c r="I302" s="19"/>
      <c r="J302" s="18" t="s">
        <v>24</v>
      </c>
      <c r="K302" s="18" t="s">
        <v>25</v>
      </c>
      <c r="L302" s="8" t="s">
        <v>49</v>
      </c>
      <c r="M302" s="8" t="s">
        <v>50</v>
      </c>
    </row>
    <row r="303" spans="1:13">
      <c r="A303" s="18" t="s">
        <v>53</v>
      </c>
      <c r="B303" s="18" t="s">
        <v>265</v>
      </c>
      <c r="C303" s="18" t="s">
        <v>263</v>
      </c>
      <c r="D303" s="18">
        <v>3.4</v>
      </c>
      <c r="E303" s="18" t="s">
        <v>121</v>
      </c>
      <c r="F303" s="18">
        <v>63</v>
      </c>
      <c r="G303" s="18">
        <v>1</v>
      </c>
      <c r="H303" s="18"/>
      <c r="I303" s="18"/>
      <c r="J303" s="18" t="s">
        <v>24</v>
      </c>
      <c r="K303" s="18" t="s">
        <v>25</v>
      </c>
      <c r="L303" s="8" t="s">
        <v>119</v>
      </c>
      <c r="M303" s="8" t="s">
        <v>120</v>
      </c>
    </row>
    <row r="304" spans="1:13">
      <c r="A304" s="18" t="s">
        <v>53</v>
      </c>
      <c r="B304" s="18" t="s">
        <v>265</v>
      </c>
      <c r="C304" s="18" t="s">
        <v>263</v>
      </c>
      <c r="D304" s="18">
        <v>3.4</v>
      </c>
      <c r="E304" s="18" t="s">
        <v>116</v>
      </c>
      <c r="F304" s="18">
        <v>58</v>
      </c>
      <c r="G304" s="18">
        <v>1</v>
      </c>
      <c r="H304" s="19"/>
      <c r="I304" s="19"/>
      <c r="J304" s="18" t="s">
        <v>24</v>
      </c>
      <c r="K304" s="18" t="s">
        <v>55</v>
      </c>
      <c r="L304" s="8" t="s">
        <v>102</v>
      </c>
      <c r="M304" s="8" t="s">
        <v>103</v>
      </c>
    </row>
    <row r="305" spans="1:13">
      <c r="A305" s="18" t="s">
        <v>53</v>
      </c>
      <c r="B305" s="18" t="s">
        <v>265</v>
      </c>
      <c r="C305" s="18" t="s">
        <v>263</v>
      </c>
      <c r="D305" s="18">
        <v>3.4</v>
      </c>
      <c r="E305" s="18" t="s">
        <v>80</v>
      </c>
      <c r="F305" s="18">
        <v>20</v>
      </c>
      <c r="G305" s="18">
        <v>1</v>
      </c>
      <c r="H305" s="18"/>
      <c r="I305" s="18"/>
      <c r="J305" s="18" t="s">
        <v>24</v>
      </c>
      <c r="K305" s="18" t="s">
        <v>25</v>
      </c>
      <c r="L305" s="8" t="s">
        <v>81</v>
      </c>
      <c r="M305" s="8" t="s">
        <v>82</v>
      </c>
    </row>
    <row r="306" spans="1:13">
      <c r="A306" s="18" t="s">
        <v>88</v>
      </c>
      <c r="B306" s="18" t="s">
        <v>35</v>
      </c>
      <c r="C306" s="18" t="s">
        <v>258</v>
      </c>
      <c r="D306" s="18">
        <v>4.1</v>
      </c>
      <c r="E306" s="18" t="s">
        <v>130</v>
      </c>
      <c r="F306" s="18">
        <v>88</v>
      </c>
      <c r="G306" s="18">
        <v>1</v>
      </c>
      <c r="H306" s="19"/>
      <c r="I306" s="19"/>
      <c r="J306" s="18" t="s">
        <v>199</v>
      </c>
      <c r="K306" s="18" t="s">
        <v>200</v>
      </c>
      <c r="L306" s="8" t="s">
        <v>49</v>
      </c>
      <c r="M306" s="8" t="s">
        <v>50</v>
      </c>
    </row>
    <row r="307" spans="1:13">
      <c r="A307" s="18" t="s">
        <v>88</v>
      </c>
      <c r="B307" s="18" t="s">
        <v>35</v>
      </c>
      <c r="C307" s="18" t="s">
        <v>258</v>
      </c>
      <c r="D307" s="18">
        <v>4.1</v>
      </c>
      <c r="E307" s="18" t="s">
        <v>129</v>
      </c>
      <c r="F307" s="18">
        <v>86</v>
      </c>
      <c r="G307" s="18">
        <v>1</v>
      </c>
      <c r="H307" s="19"/>
      <c r="I307" s="19"/>
      <c r="J307" s="18" t="s">
        <v>24</v>
      </c>
      <c r="K307" s="18" t="s">
        <v>25</v>
      </c>
      <c r="L307" s="8" t="s">
        <v>86</v>
      </c>
      <c r="M307" s="8" t="s">
        <v>87</v>
      </c>
    </row>
    <row r="308" spans="1:13">
      <c r="A308" s="18" t="s">
        <v>88</v>
      </c>
      <c r="B308" s="18" t="s">
        <v>35</v>
      </c>
      <c r="C308" s="18" t="s">
        <v>258</v>
      </c>
      <c r="D308" s="18">
        <v>4.1</v>
      </c>
      <c r="E308" s="18" t="s">
        <v>126</v>
      </c>
      <c r="F308" s="18">
        <v>77</v>
      </c>
      <c r="G308" s="18">
        <v>1</v>
      </c>
      <c r="H308" s="18"/>
      <c r="I308" s="18"/>
      <c r="J308" s="18" t="s">
        <v>24</v>
      </c>
      <c r="K308" s="18" t="s">
        <v>55</v>
      </c>
      <c r="L308" s="8" t="s">
        <v>96</v>
      </c>
      <c r="M308" s="8" t="s">
        <v>97</v>
      </c>
    </row>
    <row r="309" spans="1:13">
      <c r="A309" s="18" t="s">
        <v>88</v>
      </c>
      <c r="B309" s="18" t="s">
        <v>35</v>
      </c>
      <c r="C309" s="18" t="s">
        <v>258</v>
      </c>
      <c r="D309" s="18">
        <v>4.1</v>
      </c>
      <c r="E309" s="18" t="s">
        <v>125</v>
      </c>
      <c r="F309" s="18">
        <v>72</v>
      </c>
      <c r="G309" s="18">
        <v>1</v>
      </c>
      <c r="H309" s="19"/>
      <c r="I309" s="19"/>
      <c r="J309" s="18" t="s">
        <v>24</v>
      </c>
      <c r="K309" s="18" t="s">
        <v>25</v>
      </c>
      <c r="L309" s="8" t="s">
        <v>96</v>
      </c>
      <c r="M309" s="8" t="s">
        <v>97</v>
      </c>
    </row>
    <row r="310" spans="1:13">
      <c r="A310" s="18" t="s">
        <v>88</v>
      </c>
      <c r="B310" s="18" t="s">
        <v>35</v>
      </c>
      <c r="C310" s="18" t="s">
        <v>258</v>
      </c>
      <c r="D310" s="18">
        <v>4.1</v>
      </c>
      <c r="E310" s="18" t="s">
        <v>124</v>
      </c>
      <c r="F310" s="18">
        <v>69</v>
      </c>
      <c r="G310" s="18">
        <v>1</v>
      </c>
      <c r="H310" s="18"/>
      <c r="I310" s="18"/>
      <c r="J310" s="18" t="s">
        <v>24</v>
      </c>
      <c r="K310" s="18" t="s">
        <v>55</v>
      </c>
      <c r="L310" s="8" t="s">
        <v>102</v>
      </c>
      <c r="M310" s="8" t="s">
        <v>103</v>
      </c>
    </row>
    <row r="311" spans="1:13">
      <c r="A311" s="18" t="s">
        <v>88</v>
      </c>
      <c r="B311" s="18" t="s">
        <v>35</v>
      </c>
      <c r="C311" s="18" t="s">
        <v>258</v>
      </c>
      <c r="D311" s="18">
        <v>4.1</v>
      </c>
      <c r="E311" s="18" t="s">
        <v>123</v>
      </c>
      <c r="F311" s="18">
        <v>68</v>
      </c>
      <c r="G311" s="18">
        <v>1</v>
      </c>
      <c r="H311" s="18"/>
      <c r="I311" s="18"/>
      <c r="J311" s="18" t="s">
        <v>24</v>
      </c>
      <c r="K311" s="18" t="s">
        <v>25</v>
      </c>
      <c r="L311" s="8" t="s">
        <v>110</v>
      </c>
      <c r="M311" s="8" t="s">
        <v>111</v>
      </c>
    </row>
    <row r="312" spans="1:13">
      <c r="A312" s="18" t="s">
        <v>88</v>
      </c>
      <c r="B312" s="18" t="s">
        <v>35</v>
      </c>
      <c r="C312" s="18" t="s">
        <v>258</v>
      </c>
      <c r="D312" s="18">
        <v>4.1</v>
      </c>
      <c r="E312" s="18" t="s">
        <v>219</v>
      </c>
      <c r="F312" s="18">
        <v>67</v>
      </c>
      <c r="G312" s="18">
        <v>1</v>
      </c>
      <c r="H312" s="19"/>
      <c r="I312" s="18"/>
      <c r="J312" s="18" t="s">
        <v>199</v>
      </c>
      <c r="K312" s="18" t="s">
        <v>200</v>
      </c>
      <c r="L312" s="8" t="s">
        <v>259</v>
      </c>
      <c r="M312" s="8" t="s">
        <v>260</v>
      </c>
    </row>
    <row r="313" spans="1:13">
      <c r="A313" s="18" t="s">
        <v>88</v>
      </c>
      <c r="B313" s="18" t="s">
        <v>35</v>
      </c>
      <c r="C313" s="18" t="s">
        <v>258</v>
      </c>
      <c r="D313" s="18">
        <v>4.1</v>
      </c>
      <c r="E313" s="18" t="s">
        <v>122</v>
      </c>
      <c r="F313" s="18">
        <v>64</v>
      </c>
      <c r="G313" s="18">
        <v>2</v>
      </c>
      <c r="H313" s="19">
        <v>55657</v>
      </c>
      <c r="I313" s="19" t="s">
        <v>32</v>
      </c>
      <c r="J313" s="18" t="s">
        <v>24</v>
      </c>
      <c r="K313" s="18" t="s">
        <v>205</v>
      </c>
      <c r="L313" s="8" t="s">
        <v>119</v>
      </c>
      <c r="M313" s="8" t="s">
        <v>120</v>
      </c>
    </row>
    <row r="314" spans="1:13">
      <c r="A314" s="18" t="s">
        <v>88</v>
      </c>
      <c r="B314" s="18" t="s">
        <v>35</v>
      </c>
      <c r="C314" s="18" t="s">
        <v>258</v>
      </c>
      <c r="D314" s="18">
        <v>4.1</v>
      </c>
      <c r="E314" s="18" t="s">
        <v>121</v>
      </c>
      <c r="F314" s="18">
        <v>63</v>
      </c>
      <c r="G314" s="18">
        <v>1</v>
      </c>
      <c r="H314" s="19"/>
      <c r="I314" s="19"/>
      <c r="J314" s="18" t="s">
        <v>24</v>
      </c>
      <c r="K314" s="18" t="s">
        <v>55</v>
      </c>
      <c r="L314" s="8" t="s">
        <v>119</v>
      </c>
      <c r="M314" s="8" t="s">
        <v>120</v>
      </c>
    </row>
    <row r="315" spans="1:13">
      <c r="A315" s="18" t="s">
        <v>88</v>
      </c>
      <c r="B315" s="18" t="s">
        <v>35</v>
      </c>
      <c r="C315" s="18" t="s">
        <v>258</v>
      </c>
      <c r="D315" s="18">
        <v>4.1</v>
      </c>
      <c r="E315" s="18" t="s">
        <v>116</v>
      </c>
      <c r="F315" s="18">
        <v>58</v>
      </c>
      <c r="G315" s="18">
        <v>1</v>
      </c>
      <c r="H315" s="18"/>
      <c r="I315" s="18"/>
      <c r="J315" s="18" t="s">
        <v>24</v>
      </c>
      <c r="K315" s="18" t="s">
        <v>25</v>
      </c>
      <c r="L315" s="8" t="s">
        <v>102</v>
      </c>
      <c r="M315" s="8" t="s">
        <v>103</v>
      </c>
    </row>
    <row r="316" spans="1:13">
      <c r="A316" s="18" t="s">
        <v>88</v>
      </c>
      <c r="B316" s="18" t="s">
        <v>35</v>
      </c>
      <c r="C316" s="18" t="s">
        <v>258</v>
      </c>
      <c r="D316" s="18">
        <v>4.1</v>
      </c>
      <c r="E316" s="18" t="s">
        <v>113</v>
      </c>
      <c r="F316" s="18">
        <v>57</v>
      </c>
      <c r="G316" s="18">
        <v>2</v>
      </c>
      <c r="H316" s="19">
        <v>33863</v>
      </c>
      <c r="I316" s="19" t="s">
        <v>32</v>
      </c>
      <c r="J316" s="18" t="s">
        <v>199</v>
      </c>
      <c r="K316" s="18" t="s">
        <v>203</v>
      </c>
      <c r="L316" s="8" t="s">
        <v>114</v>
      </c>
      <c r="M316" s="8" t="s">
        <v>115</v>
      </c>
    </row>
    <row r="317" spans="1:13">
      <c r="A317" s="18" t="s">
        <v>88</v>
      </c>
      <c r="B317" s="18" t="s">
        <v>35</v>
      </c>
      <c r="C317" s="18" t="s">
        <v>258</v>
      </c>
      <c r="D317" s="18">
        <v>4.1</v>
      </c>
      <c r="E317" s="18" t="s">
        <v>101</v>
      </c>
      <c r="F317" s="18">
        <v>37</v>
      </c>
      <c r="G317" s="18">
        <v>1</v>
      </c>
      <c r="H317" s="19"/>
      <c r="I317" s="19"/>
      <c r="J317" s="18" t="s">
        <v>199</v>
      </c>
      <c r="K317" s="18" t="s">
        <v>200</v>
      </c>
      <c r="L317" s="8" t="s">
        <v>102</v>
      </c>
      <c r="M317" s="8" t="s">
        <v>103</v>
      </c>
    </row>
    <row r="318" spans="1:13">
      <c r="A318" s="18" t="s">
        <v>88</v>
      </c>
      <c r="B318" s="18" t="s">
        <v>35</v>
      </c>
      <c r="C318" s="18" t="s">
        <v>258</v>
      </c>
      <c r="D318" s="18">
        <v>4.1</v>
      </c>
      <c r="E318" s="18" t="s">
        <v>100</v>
      </c>
      <c r="F318" s="18">
        <v>36</v>
      </c>
      <c r="G318" s="18">
        <v>1</v>
      </c>
      <c r="H318" s="18"/>
      <c r="I318" s="18"/>
      <c r="J318" s="18" t="s">
        <v>24</v>
      </c>
      <c r="K318" s="18" t="s">
        <v>25</v>
      </c>
      <c r="L318" s="8" t="s">
        <v>26</v>
      </c>
      <c r="M318" s="8" t="s">
        <v>27</v>
      </c>
    </row>
    <row r="319" spans="1:13">
      <c r="A319" s="18" t="s">
        <v>88</v>
      </c>
      <c r="B319" s="18" t="s">
        <v>35</v>
      </c>
      <c r="C319" s="18" t="s">
        <v>258</v>
      </c>
      <c r="D319" s="18">
        <v>4.1</v>
      </c>
      <c r="E319" s="18" t="s">
        <v>99</v>
      </c>
      <c r="F319" s="18">
        <v>35</v>
      </c>
      <c r="G319" s="18">
        <v>1</v>
      </c>
      <c r="H319" s="19"/>
      <c r="I319" s="19"/>
      <c r="J319" s="18" t="s">
        <v>24</v>
      </c>
      <c r="K319" s="18" t="s">
        <v>55</v>
      </c>
      <c r="L319" s="8" t="s">
        <v>86</v>
      </c>
      <c r="M319" s="8" t="s">
        <v>87</v>
      </c>
    </row>
    <row r="320" spans="1:13">
      <c r="A320" s="18" t="s">
        <v>88</v>
      </c>
      <c r="B320" s="18" t="s">
        <v>35</v>
      </c>
      <c r="C320" s="18" t="s">
        <v>258</v>
      </c>
      <c r="D320" s="18">
        <v>4.1</v>
      </c>
      <c r="E320" s="18" t="s">
        <v>95</v>
      </c>
      <c r="F320" s="18">
        <v>33</v>
      </c>
      <c r="G320" s="18">
        <v>2</v>
      </c>
      <c r="H320" s="19" t="s">
        <v>31</v>
      </c>
      <c r="I320" s="19" t="s">
        <v>48</v>
      </c>
      <c r="J320" s="18" t="s">
        <v>199</v>
      </c>
      <c r="K320" s="18" t="s">
        <v>203</v>
      </c>
      <c r="L320" s="8" t="s">
        <v>96</v>
      </c>
      <c r="M320" s="8" t="s">
        <v>97</v>
      </c>
    </row>
    <row r="321" spans="1:13">
      <c r="A321" s="18" t="s">
        <v>88</v>
      </c>
      <c r="B321" s="18" t="s">
        <v>35</v>
      </c>
      <c r="C321" s="18" t="s">
        <v>258</v>
      </c>
      <c r="D321" s="18">
        <v>4.1</v>
      </c>
      <c r="E321" s="18" t="s">
        <v>93</v>
      </c>
      <c r="F321" s="18">
        <v>27</v>
      </c>
      <c r="G321" s="18">
        <v>2</v>
      </c>
      <c r="H321" s="19">
        <v>39992</v>
      </c>
      <c r="I321" s="19" t="s">
        <v>48</v>
      </c>
      <c r="J321" s="18" t="s">
        <v>199</v>
      </c>
      <c r="K321" s="18" t="s">
        <v>203</v>
      </c>
      <c r="L321" s="8" t="s">
        <v>39</v>
      </c>
      <c r="M321" s="8" t="s">
        <v>40</v>
      </c>
    </row>
    <row r="322" spans="1:13">
      <c r="A322" s="18" t="s">
        <v>88</v>
      </c>
      <c r="B322" s="18" t="s">
        <v>35</v>
      </c>
      <c r="C322" s="18" t="s">
        <v>258</v>
      </c>
      <c r="D322" s="18">
        <v>4.1</v>
      </c>
      <c r="E322" s="18" t="s">
        <v>85</v>
      </c>
      <c r="F322" s="18">
        <v>22</v>
      </c>
      <c r="G322" s="18">
        <v>1</v>
      </c>
      <c r="H322" s="19"/>
      <c r="I322" s="19"/>
      <c r="J322" s="18" t="s">
        <v>24</v>
      </c>
      <c r="K322" s="18" t="s">
        <v>55</v>
      </c>
      <c r="L322" s="8" t="s">
        <v>86</v>
      </c>
      <c r="M322" s="8" t="s">
        <v>87</v>
      </c>
    </row>
    <row r="323" spans="1:13">
      <c r="A323" s="18" t="s">
        <v>88</v>
      </c>
      <c r="B323" s="18" t="s">
        <v>35</v>
      </c>
      <c r="C323" s="18" t="s">
        <v>258</v>
      </c>
      <c r="D323" s="18">
        <v>4.1</v>
      </c>
      <c r="E323" s="18" t="s">
        <v>252</v>
      </c>
      <c r="F323" s="18">
        <v>13</v>
      </c>
      <c r="G323" s="18">
        <v>1</v>
      </c>
      <c r="H323" s="18"/>
      <c r="I323" s="18"/>
      <c r="J323" s="18" t="s">
        <v>199</v>
      </c>
      <c r="K323" s="18" t="s">
        <v>200</v>
      </c>
      <c r="L323" s="8" t="s">
        <v>73</v>
      </c>
      <c r="M323" s="8" t="s">
        <v>74</v>
      </c>
    </row>
    <row r="324" spans="1:13">
      <c r="A324" s="18" t="s">
        <v>60</v>
      </c>
      <c r="B324" s="18" t="s">
        <v>35</v>
      </c>
      <c r="C324" s="18" t="s">
        <v>261</v>
      </c>
      <c r="D324" s="18">
        <v>4.2</v>
      </c>
      <c r="E324" s="18" t="s">
        <v>131</v>
      </c>
      <c r="F324" s="18">
        <v>89</v>
      </c>
      <c r="G324" s="18">
        <v>1</v>
      </c>
      <c r="H324" s="19"/>
      <c r="I324" s="19"/>
      <c r="J324" s="18" t="s">
        <v>24</v>
      </c>
      <c r="K324" s="18" t="s">
        <v>55</v>
      </c>
      <c r="L324" s="8" t="s">
        <v>26</v>
      </c>
      <c r="M324" s="8" t="s">
        <v>27</v>
      </c>
    </row>
    <row r="325" spans="1:13">
      <c r="A325" s="18" t="s">
        <v>60</v>
      </c>
      <c r="B325" s="18" t="s">
        <v>35</v>
      </c>
      <c r="C325" s="18" t="s">
        <v>261</v>
      </c>
      <c r="D325" s="18">
        <v>4.2</v>
      </c>
      <c r="E325" s="18" t="s">
        <v>208</v>
      </c>
      <c r="F325" s="18">
        <v>74</v>
      </c>
      <c r="G325" s="18">
        <v>1</v>
      </c>
      <c r="H325" s="19"/>
      <c r="I325" s="19"/>
      <c r="J325" s="18" t="s">
        <v>199</v>
      </c>
      <c r="K325" s="18" t="s">
        <v>200</v>
      </c>
      <c r="L325" s="8" t="s">
        <v>81</v>
      </c>
      <c r="M325" s="8" t="s">
        <v>82</v>
      </c>
    </row>
    <row r="326" spans="1:13">
      <c r="A326" s="18" t="s">
        <v>60</v>
      </c>
      <c r="B326" s="18" t="s">
        <v>35</v>
      </c>
      <c r="C326" s="18" t="s">
        <v>261</v>
      </c>
      <c r="D326" s="18">
        <v>4.2</v>
      </c>
      <c r="E326" s="18" t="s">
        <v>125</v>
      </c>
      <c r="F326" s="18">
        <v>72</v>
      </c>
      <c r="G326" s="18">
        <v>1</v>
      </c>
      <c r="H326" s="18"/>
      <c r="I326" s="18"/>
      <c r="J326" s="18" t="s">
        <v>199</v>
      </c>
      <c r="K326" s="18" t="s">
        <v>200</v>
      </c>
      <c r="L326" s="8" t="s">
        <v>96</v>
      </c>
      <c r="M326" s="8" t="s">
        <v>97</v>
      </c>
    </row>
    <row r="327" spans="1:13">
      <c r="A327" s="18" t="s">
        <v>60</v>
      </c>
      <c r="B327" s="18" t="s">
        <v>35</v>
      </c>
      <c r="C327" s="18" t="s">
        <v>261</v>
      </c>
      <c r="D327" s="18">
        <v>4.2</v>
      </c>
      <c r="E327" s="18" t="s">
        <v>124</v>
      </c>
      <c r="F327" s="18">
        <v>69</v>
      </c>
      <c r="G327" s="18">
        <v>1</v>
      </c>
      <c r="H327" s="19"/>
      <c r="I327" s="19"/>
      <c r="J327" s="18" t="s">
        <v>24</v>
      </c>
      <c r="K327" s="18" t="s">
        <v>25</v>
      </c>
      <c r="L327" s="8" t="s">
        <v>102</v>
      </c>
      <c r="M327" s="8" t="s">
        <v>103</v>
      </c>
    </row>
    <row r="328" spans="1:13">
      <c r="A328" s="18" t="s">
        <v>60</v>
      </c>
      <c r="B328" s="18" t="s">
        <v>35</v>
      </c>
      <c r="C328" s="18" t="s">
        <v>261</v>
      </c>
      <c r="D328" s="18">
        <v>4.2</v>
      </c>
      <c r="E328" s="18" t="s">
        <v>123</v>
      </c>
      <c r="F328" s="18">
        <v>68</v>
      </c>
      <c r="G328" s="18">
        <v>2</v>
      </c>
      <c r="H328" s="19">
        <v>77632</v>
      </c>
      <c r="I328" s="19" t="s">
        <v>48</v>
      </c>
      <c r="J328" s="18" t="s">
        <v>24</v>
      </c>
      <c r="K328" s="18" t="s">
        <v>205</v>
      </c>
      <c r="L328" s="8" t="s">
        <v>110</v>
      </c>
      <c r="M328" s="8" t="s">
        <v>111</v>
      </c>
    </row>
    <row r="329" spans="1:13">
      <c r="A329" s="18" t="s">
        <v>60</v>
      </c>
      <c r="B329" s="18" t="s">
        <v>35</v>
      </c>
      <c r="C329" s="18" t="s">
        <v>261</v>
      </c>
      <c r="D329" s="18">
        <v>4.2</v>
      </c>
      <c r="E329" s="18" t="s">
        <v>122</v>
      </c>
      <c r="F329" s="18">
        <v>64</v>
      </c>
      <c r="G329" s="18">
        <v>1</v>
      </c>
      <c r="H329" s="18"/>
      <c r="I329" s="18"/>
      <c r="J329" s="18" t="s">
        <v>199</v>
      </c>
      <c r="K329" s="18" t="s">
        <v>200</v>
      </c>
      <c r="L329" s="8" t="s">
        <v>119</v>
      </c>
      <c r="M329" s="8" t="s">
        <v>120</v>
      </c>
    </row>
    <row r="330" spans="1:13">
      <c r="A330" s="18" t="s">
        <v>60</v>
      </c>
      <c r="B330" s="18" t="s">
        <v>35</v>
      </c>
      <c r="C330" s="18" t="s">
        <v>261</v>
      </c>
      <c r="D330" s="18">
        <v>4.2</v>
      </c>
      <c r="E330" s="18" t="s">
        <v>116</v>
      </c>
      <c r="F330" s="18">
        <v>58</v>
      </c>
      <c r="G330" s="18">
        <v>1</v>
      </c>
      <c r="H330" s="19"/>
      <c r="I330" s="18"/>
      <c r="J330" s="18" t="s">
        <v>199</v>
      </c>
      <c r="K330" s="18" t="s">
        <v>200</v>
      </c>
      <c r="L330" s="8" t="s">
        <v>102</v>
      </c>
      <c r="M330" s="8" t="s">
        <v>103</v>
      </c>
    </row>
    <row r="331" spans="1:13">
      <c r="A331" s="18" t="s">
        <v>60</v>
      </c>
      <c r="B331" s="18" t="s">
        <v>35</v>
      </c>
      <c r="C331" s="18" t="s">
        <v>261</v>
      </c>
      <c r="D331" s="18">
        <v>4.2</v>
      </c>
      <c r="E331" s="18" t="s">
        <v>113</v>
      </c>
      <c r="F331" s="18">
        <v>57</v>
      </c>
      <c r="G331" s="18">
        <v>1</v>
      </c>
      <c r="H331" s="19"/>
      <c r="I331" s="19"/>
      <c r="J331" s="18" t="s">
        <v>24</v>
      </c>
      <c r="K331" s="18" t="s">
        <v>25</v>
      </c>
      <c r="L331" s="8" t="s">
        <v>114</v>
      </c>
      <c r="M331" s="8" t="s">
        <v>115</v>
      </c>
    </row>
    <row r="332" spans="1:13">
      <c r="A332" s="18" t="s">
        <v>60</v>
      </c>
      <c r="B332" s="18" t="s">
        <v>35</v>
      </c>
      <c r="C332" s="18" t="s">
        <v>261</v>
      </c>
      <c r="D332" s="18">
        <v>4.2</v>
      </c>
      <c r="E332" s="18" t="s">
        <v>253</v>
      </c>
      <c r="F332" s="18">
        <v>50</v>
      </c>
      <c r="G332" s="18">
        <v>1</v>
      </c>
      <c r="H332" s="19"/>
      <c r="I332" s="19"/>
      <c r="J332" s="18" t="s">
        <v>199</v>
      </c>
      <c r="K332" s="18" t="s">
        <v>200</v>
      </c>
      <c r="L332" s="8" t="s">
        <v>110</v>
      </c>
      <c r="M332" s="8" t="s">
        <v>111</v>
      </c>
    </row>
    <row r="333" spans="1:13">
      <c r="A333" s="18" t="s">
        <v>60</v>
      </c>
      <c r="B333" s="18" t="s">
        <v>35</v>
      </c>
      <c r="C333" s="18" t="s">
        <v>261</v>
      </c>
      <c r="D333" s="18">
        <v>4.2</v>
      </c>
      <c r="E333" s="18" t="s">
        <v>108</v>
      </c>
      <c r="F333" s="18">
        <v>46</v>
      </c>
      <c r="G333" s="18">
        <v>1</v>
      </c>
      <c r="H333" s="18"/>
      <c r="I333" s="18"/>
      <c r="J333" s="18" t="s">
        <v>199</v>
      </c>
      <c r="K333" s="18" t="s">
        <v>200</v>
      </c>
      <c r="L333" s="8" t="s">
        <v>81</v>
      </c>
      <c r="M333" s="8" t="s">
        <v>82</v>
      </c>
    </row>
    <row r="334" spans="1:13">
      <c r="A334" s="18" t="s">
        <v>60</v>
      </c>
      <c r="B334" s="18" t="s">
        <v>35</v>
      </c>
      <c r="C334" s="18" t="s">
        <v>261</v>
      </c>
      <c r="D334" s="18">
        <v>4.2</v>
      </c>
      <c r="E334" s="18" t="s">
        <v>254</v>
      </c>
      <c r="F334" s="18">
        <v>38</v>
      </c>
      <c r="G334" s="18">
        <v>1</v>
      </c>
      <c r="H334" s="19"/>
      <c r="I334" s="19"/>
      <c r="J334" s="18" t="s">
        <v>199</v>
      </c>
      <c r="K334" s="18" t="s">
        <v>200</v>
      </c>
      <c r="L334" s="8" t="s">
        <v>96</v>
      </c>
      <c r="M334" s="8" t="s">
        <v>97</v>
      </c>
    </row>
    <row r="335" spans="1:13">
      <c r="A335" s="18" t="s">
        <v>60</v>
      </c>
      <c r="B335" s="18" t="s">
        <v>35</v>
      </c>
      <c r="C335" s="18" t="s">
        <v>261</v>
      </c>
      <c r="D335" s="18">
        <v>4.2</v>
      </c>
      <c r="E335" s="18" t="s">
        <v>98</v>
      </c>
      <c r="F335" s="18">
        <v>34</v>
      </c>
      <c r="G335" s="18">
        <v>1</v>
      </c>
      <c r="H335" s="19"/>
      <c r="I335" s="19"/>
      <c r="J335" s="18" t="s">
        <v>199</v>
      </c>
      <c r="K335" s="18" t="s">
        <v>200</v>
      </c>
      <c r="L335" s="8" t="s">
        <v>86</v>
      </c>
      <c r="M335" s="8" t="s">
        <v>87</v>
      </c>
    </row>
    <row r="336" spans="1:13">
      <c r="A336" s="18" t="s">
        <v>60</v>
      </c>
      <c r="B336" s="18" t="s">
        <v>35</v>
      </c>
      <c r="C336" s="18" t="s">
        <v>261</v>
      </c>
      <c r="D336" s="18">
        <v>4.2</v>
      </c>
      <c r="E336" s="18" t="s">
        <v>255</v>
      </c>
      <c r="F336" s="18">
        <v>32</v>
      </c>
      <c r="G336" s="18">
        <v>1</v>
      </c>
      <c r="H336" s="18"/>
      <c r="I336" s="18"/>
      <c r="J336" s="18" t="s">
        <v>199</v>
      </c>
      <c r="K336" s="18" t="s">
        <v>200</v>
      </c>
      <c r="L336" s="8" t="s">
        <v>73</v>
      </c>
      <c r="M336" s="8" t="s">
        <v>74</v>
      </c>
    </row>
    <row r="337" spans="1:13">
      <c r="A337" s="18" t="s">
        <v>60</v>
      </c>
      <c r="B337" s="18" t="s">
        <v>35</v>
      </c>
      <c r="C337" s="18" t="s">
        <v>261</v>
      </c>
      <c r="D337" s="18">
        <v>4.2</v>
      </c>
      <c r="E337" s="18" t="s">
        <v>94</v>
      </c>
      <c r="F337" s="18">
        <v>28</v>
      </c>
      <c r="G337" s="18">
        <v>1</v>
      </c>
      <c r="H337" s="19"/>
      <c r="I337" s="19"/>
      <c r="J337" s="18" t="s">
        <v>24</v>
      </c>
      <c r="K337" s="18" t="s">
        <v>55</v>
      </c>
      <c r="L337" s="8" t="s">
        <v>39</v>
      </c>
      <c r="M337" s="8" t="s">
        <v>40</v>
      </c>
    </row>
    <row r="338" spans="1:13">
      <c r="A338" s="18" t="s">
        <v>60</v>
      </c>
      <c r="B338" s="18" t="s">
        <v>35</v>
      </c>
      <c r="C338" s="18" t="s">
        <v>261</v>
      </c>
      <c r="D338" s="18">
        <v>4.2</v>
      </c>
      <c r="E338" s="18" t="s">
        <v>92</v>
      </c>
      <c r="F338" s="18">
        <v>23</v>
      </c>
      <c r="G338" s="18">
        <v>2</v>
      </c>
      <c r="H338" s="19">
        <v>22955</v>
      </c>
      <c r="I338" s="19" t="s">
        <v>32</v>
      </c>
      <c r="J338" s="18" t="s">
        <v>24</v>
      </c>
      <c r="K338" s="18" t="s">
        <v>205</v>
      </c>
      <c r="L338" s="8" t="s">
        <v>49</v>
      </c>
      <c r="M338" s="8" t="s">
        <v>50</v>
      </c>
    </row>
    <row r="339" spans="1:13">
      <c r="A339" s="18" t="s">
        <v>60</v>
      </c>
      <c r="B339" s="18" t="s">
        <v>35</v>
      </c>
      <c r="C339" s="18" t="s">
        <v>261</v>
      </c>
      <c r="D339" s="18">
        <v>4.2</v>
      </c>
      <c r="E339" s="18" t="s">
        <v>211</v>
      </c>
      <c r="F339" s="18">
        <v>17</v>
      </c>
      <c r="G339" s="18">
        <v>1</v>
      </c>
      <c r="H339" s="19"/>
      <c r="I339" s="19"/>
      <c r="J339" s="18" t="s">
        <v>199</v>
      </c>
      <c r="K339" s="18" t="s">
        <v>200</v>
      </c>
      <c r="L339" s="8" t="s">
        <v>86</v>
      </c>
      <c r="M339" s="8" t="s">
        <v>87</v>
      </c>
    </row>
    <row r="340" spans="1:13">
      <c r="A340" s="18" t="s">
        <v>60</v>
      </c>
      <c r="B340" s="18" t="s">
        <v>35</v>
      </c>
      <c r="C340" s="18" t="s">
        <v>261</v>
      </c>
      <c r="D340" s="18">
        <v>4.2</v>
      </c>
      <c r="E340" s="18" t="s">
        <v>252</v>
      </c>
      <c r="F340" s="18">
        <v>13</v>
      </c>
      <c r="G340" s="18">
        <v>1</v>
      </c>
      <c r="H340" s="19"/>
      <c r="I340" s="19"/>
      <c r="J340" s="18" t="s">
        <v>199</v>
      </c>
      <c r="K340" s="18" t="s">
        <v>200</v>
      </c>
      <c r="L340" s="8" t="s">
        <v>73</v>
      </c>
      <c r="M340" s="8" t="s">
        <v>74</v>
      </c>
    </row>
    <row r="341" spans="1:13">
      <c r="A341" s="18" t="s">
        <v>60</v>
      </c>
      <c r="B341" s="18" t="s">
        <v>35</v>
      </c>
      <c r="C341" s="18" t="s">
        <v>261</v>
      </c>
      <c r="D341" s="18">
        <v>4.2</v>
      </c>
      <c r="E341" s="18" t="s">
        <v>63</v>
      </c>
      <c r="F341" s="18">
        <v>11</v>
      </c>
      <c r="G341" s="18">
        <v>1</v>
      </c>
      <c r="H341" s="18"/>
      <c r="I341" s="18"/>
      <c r="J341" s="18" t="s">
        <v>24</v>
      </c>
      <c r="K341" s="18" t="s">
        <v>25</v>
      </c>
      <c r="L341" s="8" t="s">
        <v>49</v>
      </c>
      <c r="M341" s="8" t="s">
        <v>50</v>
      </c>
    </row>
    <row r="342" spans="1:13">
      <c r="A342" s="18" t="s">
        <v>34</v>
      </c>
      <c r="B342" s="18" t="s">
        <v>35</v>
      </c>
      <c r="C342" s="18" t="s">
        <v>262</v>
      </c>
      <c r="D342" s="18">
        <v>4.3</v>
      </c>
      <c r="E342" s="18" t="s">
        <v>124</v>
      </c>
      <c r="F342" s="18">
        <v>69</v>
      </c>
      <c r="G342" s="18">
        <v>1</v>
      </c>
      <c r="H342" s="19"/>
      <c r="I342" s="19"/>
      <c r="J342" s="18" t="s">
        <v>24</v>
      </c>
      <c r="K342" s="18" t="s">
        <v>55</v>
      </c>
      <c r="L342" s="8" t="s">
        <v>102</v>
      </c>
      <c r="M342" s="8" t="s">
        <v>103</v>
      </c>
    </row>
    <row r="343" spans="1:13">
      <c r="A343" s="18" t="s">
        <v>34</v>
      </c>
      <c r="B343" s="18" t="s">
        <v>35</v>
      </c>
      <c r="C343" s="18" t="s">
        <v>262</v>
      </c>
      <c r="D343" s="18">
        <v>4.3</v>
      </c>
      <c r="E343" s="18" t="s">
        <v>123</v>
      </c>
      <c r="F343" s="18">
        <v>68</v>
      </c>
      <c r="G343" s="18">
        <v>1</v>
      </c>
      <c r="H343" s="19"/>
      <c r="I343" s="19"/>
      <c r="J343" s="18" t="s">
        <v>24</v>
      </c>
      <c r="K343" s="18" t="s">
        <v>55</v>
      </c>
      <c r="L343" s="8" t="s">
        <v>110</v>
      </c>
      <c r="M343" s="8" t="s">
        <v>111</v>
      </c>
    </row>
    <row r="344" spans="1:13">
      <c r="A344" s="18" t="s">
        <v>34</v>
      </c>
      <c r="B344" s="18" t="s">
        <v>35</v>
      </c>
      <c r="C344" s="18" t="s">
        <v>262</v>
      </c>
      <c r="D344" s="18">
        <v>4.3</v>
      </c>
      <c r="E344" s="18" t="s">
        <v>117</v>
      </c>
      <c r="F344" s="18">
        <v>59</v>
      </c>
      <c r="G344" s="18">
        <v>1</v>
      </c>
      <c r="H344" s="18"/>
      <c r="I344" s="18"/>
      <c r="J344" s="18" t="s">
        <v>199</v>
      </c>
      <c r="K344" s="18" t="s">
        <v>200</v>
      </c>
      <c r="L344" s="8" t="s">
        <v>102</v>
      </c>
      <c r="M344" s="8" t="s">
        <v>103</v>
      </c>
    </row>
    <row r="345" spans="1:13">
      <c r="A345" s="18" t="s">
        <v>34</v>
      </c>
      <c r="B345" s="18" t="s">
        <v>35</v>
      </c>
      <c r="C345" s="18" t="s">
        <v>262</v>
      </c>
      <c r="D345" s="18">
        <v>4.3</v>
      </c>
      <c r="E345" s="18" t="s">
        <v>116</v>
      </c>
      <c r="F345" s="18">
        <v>58</v>
      </c>
      <c r="G345" s="18">
        <v>1</v>
      </c>
      <c r="H345" s="19"/>
      <c r="I345" s="19"/>
      <c r="J345" s="18" t="s">
        <v>24</v>
      </c>
      <c r="K345" s="18" t="s">
        <v>25</v>
      </c>
      <c r="L345" s="8" t="s">
        <v>102</v>
      </c>
      <c r="M345" s="8" t="s">
        <v>103</v>
      </c>
    </row>
    <row r="346" spans="1:13">
      <c r="A346" s="18" t="s">
        <v>34</v>
      </c>
      <c r="B346" s="18" t="s">
        <v>35</v>
      </c>
      <c r="C346" s="18" t="s">
        <v>262</v>
      </c>
      <c r="D346" s="18">
        <v>4.3</v>
      </c>
      <c r="E346" s="18" t="s">
        <v>113</v>
      </c>
      <c r="F346" s="18">
        <v>57</v>
      </c>
      <c r="G346" s="18">
        <v>1</v>
      </c>
      <c r="H346" s="19"/>
      <c r="I346" s="19"/>
      <c r="J346" s="18" t="s">
        <v>24</v>
      </c>
      <c r="K346" s="18" t="s">
        <v>25</v>
      </c>
      <c r="L346" s="8" t="s">
        <v>114</v>
      </c>
      <c r="M346" s="8" t="s">
        <v>115</v>
      </c>
    </row>
    <row r="347" spans="1:13">
      <c r="A347" s="18" t="s">
        <v>34</v>
      </c>
      <c r="B347" s="18" t="s">
        <v>35</v>
      </c>
      <c r="C347" s="18" t="s">
        <v>262</v>
      </c>
      <c r="D347" s="18">
        <v>4.3</v>
      </c>
      <c r="E347" s="18" t="s">
        <v>109</v>
      </c>
      <c r="F347" s="18">
        <v>49</v>
      </c>
      <c r="G347" s="18">
        <v>1</v>
      </c>
      <c r="H347" s="18"/>
      <c r="I347" s="18"/>
      <c r="J347" s="18" t="s">
        <v>24</v>
      </c>
      <c r="K347" s="18" t="s">
        <v>55</v>
      </c>
      <c r="L347" s="8" t="s">
        <v>110</v>
      </c>
      <c r="M347" s="8" t="s">
        <v>111</v>
      </c>
    </row>
    <row r="348" spans="1:13">
      <c r="A348" s="18" t="s">
        <v>34</v>
      </c>
      <c r="B348" s="18" t="s">
        <v>35</v>
      </c>
      <c r="C348" s="18" t="s">
        <v>262</v>
      </c>
      <c r="D348" s="18">
        <v>4.3</v>
      </c>
      <c r="E348" s="18" t="s">
        <v>232</v>
      </c>
      <c r="F348" s="18">
        <v>47</v>
      </c>
      <c r="G348" s="18">
        <v>1</v>
      </c>
      <c r="H348" s="19"/>
      <c r="I348" s="18"/>
      <c r="J348" s="18" t="s">
        <v>199</v>
      </c>
      <c r="K348" s="18" t="s">
        <v>200</v>
      </c>
      <c r="L348" s="8" t="s">
        <v>102</v>
      </c>
      <c r="M348" s="8" t="s">
        <v>103</v>
      </c>
    </row>
    <row r="349" spans="1:13">
      <c r="A349" s="18" t="s">
        <v>34</v>
      </c>
      <c r="B349" s="18" t="s">
        <v>35</v>
      </c>
      <c r="C349" s="18" t="s">
        <v>262</v>
      </c>
      <c r="D349" s="18">
        <v>4.3</v>
      </c>
      <c r="E349" s="18" t="s">
        <v>108</v>
      </c>
      <c r="F349" s="18">
        <v>46</v>
      </c>
      <c r="G349" s="18">
        <v>1</v>
      </c>
      <c r="H349" s="19"/>
      <c r="I349" s="19"/>
      <c r="J349" s="18" t="s">
        <v>199</v>
      </c>
      <c r="K349" s="18" t="s">
        <v>200</v>
      </c>
      <c r="L349" s="8" t="s">
        <v>81</v>
      </c>
      <c r="M349" s="8" t="s">
        <v>82</v>
      </c>
    </row>
    <row r="350" spans="1:13">
      <c r="A350" s="18" t="s">
        <v>34</v>
      </c>
      <c r="B350" s="18" t="s">
        <v>35</v>
      </c>
      <c r="C350" s="18" t="s">
        <v>262</v>
      </c>
      <c r="D350" s="18">
        <v>4.3</v>
      </c>
      <c r="E350" s="18" t="s">
        <v>99</v>
      </c>
      <c r="F350" s="18">
        <v>35</v>
      </c>
      <c r="G350" s="18">
        <v>1</v>
      </c>
      <c r="H350" s="19"/>
      <c r="I350" s="19"/>
      <c r="J350" s="18" t="s">
        <v>199</v>
      </c>
      <c r="K350" s="18" t="s">
        <v>200</v>
      </c>
      <c r="L350" s="8" t="s">
        <v>86</v>
      </c>
      <c r="M350" s="8" t="s">
        <v>87</v>
      </c>
    </row>
    <row r="351" spans="1:13">
      <c r="A351" s="18" t="s">
        <v>34</v>
      </c>
      <c r="B351" s="18" t="s">
        <v>35</v>
      </c>
      <c r="C351" s="18" t="s">
        <v>262</v>
      </c>
      <c r="D351" s="18">
        <v>4.3</v>
      </c>
      <c r="E351" s="18" t="s">
        <v>98</v>
      </c>
      <c r="F351" s="18">
        <v>34</v>
      </c>
      <c r="G351" s="18">
        <v>2</v>
      </c>
      <c r="H351" s="18" t="s">
        <v>31</v>
      </c>
      <c r="I351" s="18" t="s">
        <v>32</v>
      </c>
      <c r="J351" s="18" t="s">
        <v>24</v>
      </c>
      <c r="K351" s="18" t="s">
        <v>205</v>
      </c>
      <c r="L351" s="8" t="s">
        <v>86</v>
      </c>
      <c r="M351" s="8" t="s">
        <v>87</v>
      </c>
    </row>
    <row r="352" spans="1:13">
      <c r="A352" s="18" t="s">
        <v>34</v>
      </c>
      <c r="B352" s="18" t="s">
        <v>35</v>
      </c>
      <c r="C352" s="18" t="s">
        <v>262</v>
      </c>
      <c r="D352" s="18">
        <v>4.3</v>
      </c>
      <c r="E352" s="18" t="s">
        <v>94</v>
      </c>
      <c r="F352" s="18">
        <v>28</v>
      </c>
      <c r="G352" s="18">
        <v>1</v>
      </c>
      <c r="H352" s="19"/>
      <c r="I352" s="19"/>
      <c r="J352" s="18" t="s">
        <v>199</v>
      </c>
      <c r="K352" s="18" t="s">
        <v>200</v>
      </c>
      <c r="L352" s="8" t="s">
        <v>39</v>
      </c>
      <c r="M352" s="8" t="s">
        <v>40</v>
      </c>
    </row>
    <row r="353" spans="1:13">
      <c r="A353" s="18" t="s">
        <v>34</v>
      </c>
      <c r="B353" s="18" t="s">
        <v>35</v>
      </c>
      <c r="C353" s="18" t="s">
        <v>262</v>
      </c>
      <c r="D353" s="18">
        <v>4.3</v>
      </c>
      <c r="E353" s="18" t="s">
        <v>38</v>
      </c>
      <c r="F353" s="18">
        <v>5</v>
      </c>
      <c r="G353" s="18">
        <v>1</v>
      </c>
      <c r="H353" s="19"/>
      <c r="I353" s="19"/>
      <c r="J353" s="18" t="s">
        <v>24</v>
      </c>
      <c r="K353" s="18" t="s">
        <v>25</v>
      </c>
      <c r="L353" s="8" t="s">
        <v>39</v>
      </c>
      <c r="M353" s="8" t="s">
        <v>40</v>
      </c>
    </row>
    <row r="354" spans="1:13">
      <c r="A354" s="18" t="s">
        <v>34</v>
      </c>
      <c r="B354" s="18" t="s">
        <v>35</v>
      </c>
      <c r="C354" s="18" t="s">
        <v>262</v>
      </c>
      <c r="D354" s="18">
        <v>4.3</v>
      </c>
      <c r="E354" s="18" t="s">
        <v>252</v>
      </c>
      <c r="F354" s="18">
        <v>13</v>
      </c>
      <c r="G354" s="18">
        <v>1</v>
      </c>
      <c r="H354" s="18"/>
      <c r="I354" s="18"/>
      <c r="J354" s="18" t="s">
        <v>199</v>
      </c>
      <c r="K354" s="18" t="s">
        <v>200</v>
      </c>
      <c r="L354" s="8" t="s">
        <v>73</v>
      </c>
      <c r="M354" s="8" t="s">
        <v>74</v>
      </c>
    </row>
    <row r="355" spans="1:13">
      <c r="A355" s="18" t="s">
        <v>34</v>
      </c>
      <c r="B355" s="18" t="s">
        <v>35</v>
      </c>
      <c r="C355" s="18" t="s">
        <v>262</v>
      </c>
      <c r="D355" s="18">
        <v>4.3</v>
      </c>
      <c r="E355" s="18" t="s">
        <v>47</v>
      </c>
      <c r="F355" s="18">
        <v>8</v>
      </c>
      <c r="G355" s="18">
        <v>1</v>
      </c>
      <c r="H355" s="19"/>
      <c r="I355" s="19"/>
      <c r="J355" s="18" t="s">
        <v>24</v>
      </c>
      <c r="K355" s="18" t="s">
        <v>55</v>
      </c>
      <c r="L355" s="8" t="s">
        <v>49</v>
      </c>
      <c r="M355" s="8" t="s">
        <v>50</v>
      </c>
    </row>
    <row r="356" spans="1:13">
      <c r="A356" s="18" t="s">
        <v>41</v>
      </c>
      <c r="B356" s="18" t="s">
        <v>35</v>
      </c>
      <c r="C356" s="18" t="s">
        <v>263</v>
      </c>
      <c r="D356" s="18">
        <v>4.4</v>
      </c>
      <c r="E356" s="18" t="s">
        <v>229</v>
      </c>
      <c r="F356" s="18">
        <v>73</v>
      </c>
      <c r="G356" s="18">
        <v>1</v>
      </c>
      <c r="H356" s="19"/>
      <c r="I356" s="19"/>
      <c r="J356" s="18" t="s">
        <v>199</v>
      </c>
      <c r="K356" s="18" t="s">
        <v>200</v>
      </c>
      <c r="L356" s="8" t="s">
        <v>110</v>
      </c>
      <c r="M356" s="8" t="s">
        <v>111</v>
      </c>
    </row>
    <row r="357" spans="1:13">
      <c r="A357" s="18" t="s">
        <v>41</v>
      </c>
      <c r="B357" s="18" t="s">
        <v>35</v>
      </c>
      <c r="C357" s="18" t="s">
        <v>263</v>
      </c>
      <c r="D357" s="18">
        <v>4.4</v>
      </c>
      <c r="E357" s="18" t="s">
        <v>125</v>
      </c>
      <c r="F357" s="18">
        <v>72</v>
      </c>
      <c r="G357" s="18">
        <v>1</v>
      </c>
      <c r="H357" s="19"/>
      <c r="I357" s="19"/>
      <c r="J357" s="18" t="s">
        <v>199</v>
      </c>
      <c r="K357" s="18" t="s">
        <v>200</v>
      </c>
      <c r="L357" s="8" t="s">
        <v>96</v>
      </c>
      <c r="M357" s="8" t="s">
        <v>97</v>
      </c>
    </row>
    <row r="358" spans="1:13">
      <c r="A358" s="18" t="s">
        <v>41</v>
      </c>
      <c r="B358" s="18" t="s">
        <v>35</v>
      </c>
      <c r="C358" s="18" t="s">
        <v>263</v>
      </c>
      <c r="D358" s="18">
        <v>4.4</v>
      </c>
      <c r="E358" s="18" t="s">
        <v>124</v>
      </c>
      <c r="F358" s="18">
        <v>69</v>
      </c>
      <c r="G358" s="18">
        <v>1</v>
      </c>
      <c r="H358" s="18"/>
      <c r="I358" s="18"/>
      <c r="J358" s="18" t="s">
        <v>24</v>
      </c>
      <c r="K358" s="18" t="s">
        <v>55</v>
      </c>
      <c r="L358" s="8" t="s">
        <v>102</v>
      </c>
      <c r="M358" s="8" t="s">
        <v>103</v>
      </c>
    </row>
    <row r="359" spans="1:13">
      <c r="A359" s="18" t="s">
        <v>41</v>
      </c>
      <c r="B359" s="18" t="s">
        <v>35</v>
      </c>
      <c r="C359" s="18" t="s">
        <v>263</v>
      </c>
      <c r="D359" s="18">
        <v>4.4</v>
      </c>
      <c r="E359" s="18" t="s">
        <v>123</v>
      </c>
      <c r="F359" s="18">
        <v>68</v>
      </c>
      <c r="G359" s="18">
        <v>1</v>
      </c>
      <c r="H359" s="19"/>
      <c r="I359" s="19"/>
      <c r="J359" s="18" t="s">
        <v>24</v>
      </c>
      <c r="K359" s="18" t="s">
        <v>25</v>
      </c>
      <c r="L359" s="8" t="s">
        <v>110</v>
      </c>
      <c r="M359" s="8" t="s">
        <v>111</v>
      </c>
    </row>
    <row r="360" spans="1:13">
      <c r="A360" s="18" t="s">
        <v>41</v>
      </c>
      <c r="B360" s="18" t="s">
        <v>35</v>
      </c>
      <c r="C360" s="18" t="s">
        <v>263</v>
      </c>
      <c r="D360" s="18">
        <v>4.4</v>
      </c>
      <c r="E360" s="18" t="s">
        <v>122</v>
      </c>
      <c r="F360" s="18">
        <v>64</v>
      </c>
      <c r="G360" s="18">
        <v>1</v>
      </c>
      <c r="H360" s="19"/>
      <c r="I360" s="19"/>
      <c r="J360" s="18" t="s">
        <v>24</v>
      </c>
      <c r="K360" s="18" t="s">
        <v>55</v>
      </c>
      <c r="L360" s="8" t="s">
        <v>119</v>
      </c>
      <c r="M360" s="8" t="s">
        <v>120</v>
      </c>
    </row>
    <row r="361" spans="1:13">
      <c r="A361" s="18" t="s">
        <v>41</v>
      </c>
      <c r="B361" s="18" t="s">
        <v>35</v>
      </c>
      <c r="C361" s="18" t="s">
        <v>263</v>
      </c>
      <c r="D361" s="18">
        <v>4.4</v>
      </c>
      <c r="E361" s="18" t="s">
        <v>121</v>
      </c>
      <c r="F361" s="18">
        <v>63</v>
      </c>
      <c r="G361" s="18">
        <v>1</v>
      </c>
      <c r="H361" s="18"/>
      <c r="I361" s="18"/>
      <c r="J361" s="18" t="s">
        <v>24</v>
      </c>
      <c r="K361" s="18" t="s">
        <v>25</v>
      </c>
      <c r="L361" s="8" t="s">
        <v>119</v>
      </c>
      <c r="M361" s="8" t="s">
        <v>120</v>
      </c>
    </row>
    <row r="362" spans="1:13">
      <c r="A362" s="18" t="s">
        <v>41</v>
      </c>
      <c r="B362" s="18" t="s">
        <v>35</v>
      </c>
      <c r="C362" s="18" t="s">
        <v>263</v>
      </c>
      <c r="D362" s="18">
        <v>4.4</v>
      </c>
      <c r="E362" s="18" t="s">
        <v>117</v>
      </c>
      <c r="F362" s="18">
        <v>59</v>
      </c>
      <c r="G362" s="18">
        <v>1</v>
      </c>
      <c r="H362" s="19"/>
      <c r="I362" s="18"/>
      <c r="J362" s="18" t="s">
        <v>24</v>
      </c>
      <c r="K362" s="18" t="s">
        <v>25</v>
      </c>
      <c r="L362" s="8" t="s">
        <v>102</v>
      </c>
      <c r="M362" s="8" t="s">
        <v>103</v>
      </c>
    </row>
    <row r="363" spans="1:13">
      <c r="A363" s="18" t="s">
        <v>41</v>
      </c>
      <c r="B363" s="18" t="s">
        <v>35</v>
      </c>
      <c r="C363" s="18" t="s">
        <v>263</v>
      </c>
      <c r="D363" s="18">
        <v>4.4</v>
      </c>
      <c r="E363" s="18" t="s">
        <v>116</v>
      </c>
      <c r="F363" s="18">
        <v>58</v>
      </c>
      <c r="G363" s="18">
        <v>1</v>
      </c>
      <c r="H363" s="19"/>
      <c r="I363" s="19"/>
      <c r="J363" s="18" t="s">
        <v>24</v>
      </c>
      <c r="K363" s="18" t="s">
        <v>25</v>
      </c>
      <c r="L363" s="8" t="s">
        <v>102</v>
      </c>
      <c r="M363" s="8" t="s">
        <v>103</v>
      </c>
    </row>
    <row r="364" spans="1:13">
      <c r="A364" s="18" t="s">
        <v>41</v>
      </c>
      <c r="B364" s="18" t="s">
        <v>35</v>
      </c>
      <c r="C364" s="18" t="s">
        <v>263</v>
      </c>
      <c r="D364" s="18">
        <v>4.4</v>
      </c>
      <c r="E364" s="18" t="s">
        <v>113</v>
      </c>
      <c r="F364" s="18">
        <v>57</v>
      </c>
      <c r="G364" s="18">
        <v>1</v>
      </c>
      <c r="H364" s="19"/>
      <c r="I364" s="19"/>
      <c r="J364" s="18" t="s">
        <v>24</v>
      </c>
      <c r="K364" s="18" t="s">
        <v>55</v>
      </c>
      <c r="L364" s="8" t="s">
        <v>114</v>
      </c>
      <c r="M364" s="8" t="s">
        <v>115</v>
      </c>
    </row>
    <row r="365" spans="1:13">
      <c r="A365" s="18" t="s">
        <v>41</v>
      </c>
      <c r="B365" s="18" t="s">
        <v>35</v>
      </c>
      <c r="C365" s="18" t="s">
        <v>263</v>
      </c>
      <c r="D365" s="18">
        <v>4.4</v>
      </c>
      <c r="E365" s="18" t="s">
        <v>101</v>
      </c>
      <c r="F365" s="18">
        <v>37</v>
      </c>
      <c r="G365" s="18">
        <v>1</v>
      </c>
      <c r="H365" s="18"/>
      <c r="I365" s="18"/>
      <c r="J365" s="18" t="s">
        <v>199</v>
      </c>
      <c r="K365" s="18" t="s">
        <v>200</v>
      </c>
      <c r="L365" s="8" t="s">
        <v>102</v>
      </c>
      <c r="M365" s="8" t="s">
        <v>103</v>
      </c>
    </row>
    <row r="366" spans="1:13">
      <c r="A366" s="18" t="s">
        <v>41</v>
      </c>
      <c r="B366" s="18" t="s">
        <v>35</v>
      </c>
      <c r="C366" s="18" t="s">
        <v>263</v>
      </c>
      <c r="D366" s="18">
        <v>4.4</v>
      </c>
      <c r="E366" s="18" t="s">
        <v>100</v>
      </c>
      <c r="F366" s="18">
        <v>36</v>
      </c>
      <c r="G366" s="18">
        <v>1</v>
      </c>
      <c r="H366" s="19"/>
      <c r="I366" s="19"/>
      <c r="J366" s="18" t="s">
        <v>199</v>
      </c>
      <c r="K366" s="18" t="s">
        <v>200</v>
      </c>
      <c r="L366" s="8" t="s">
        <v>26</v>
      </c>
      <c r="M366" s="8" t="s">
        <v>27</v>
      </c>
    </row>
    <row r="367" spans="1:13">
      <c r="A367" s="18" t="s">
        <v>41</v>
      </c>
      <c r="B367" s="18" t="s">
        <v>35</v>
      </c>
      <c r="C367" s="18" t="s">
        <v>263</v>
      </c>
      <c r="D367" s="18">
        <v>4.4</v>
      </c>
      <c r="E367" s="18" t="s">
        <v>95</v>
      </c>
      <c r="F367" s="18">
        <v>33</v>
      </c>
      <c r="G367" s="18">
        <v>1</v>
      </c>
      <c r="H367" s="19"/>
      <c r="I367" s="19"/>
      <c r="J367" s="18" t="s">
        <v>199</v>
      </c>
      <c r="K367" s="18" t="s">
        <v>200</v>
      </c>
      <c r="L367" s="8" t="s">
        <v>96</v>
      </c>
      <c r="M367" s="8" t="s">
        <v>97</v>
      </c>
    </row>
    <row r="368" spans="1:13">
      <c r="A368" s="18" t="s">
        <v>41</v>
      </c>
      <c r="B368" s="18" t="s">
        <v>35</v>
      </c>
      <c r="C368" s="18" t="s">
        <v>263</v>
      </c>
      <c r="D368" s="18">
        <v>4.4</v>
      </c>
      <c r="E368" s="18" t="s">
        <v>85</v>
      </c>
      <c r="F368" s="18">
        <v>22</v>
      </c>
      <c r="G368" s="18">
        <v>1</v>
      </c>
      <c r="H368" s="18"/>
      <c r="I368" s="18"/>
      <c r="J368" s="18" t="s">
        <v>199</v>
      </c>
      <c r="K368" s="18" t="s">
        <v>200</v>
      </c>
      <c r="L368" s="8" t="s">
        <v>86</v>
      </c>
      <c r="M368" s="8" t="s">
        <v>87</v>
      </c>
    </row>
    <row r="369" spans="1:13">
      <c r="A369" s="18" t="s">
        <v>41</v>
      </c>
      <c r="B369" s="18" t="s">
        <v>35</v>
      </c>
      <c r="C369" s="18" t="s">
        <v>263</v>
      </c>
      <c r="D369" s="18">
        <v>4.4</v>
      </c>
      <c r="E369" s="18" t="s">
        <v>80</v>
      </c>
      <c r="F369" s="18">
        <v>20</v>
      </c>
      <c r="G369" s="18">
        <v>1</v>
      </c>
      <c r="H369" s="19"/>
      <c r="I369" s="19"/>
      <c r="J369" s="18" t="s">
        <v>24</v>
      </c>
      <c r="K369" s="18" t="s">
        <v>55</v>
      </c>
      <c r="L369" s="8" t="s">
        <v>81</v>
      </c>
      <c r="M369" s="8" t="s">
        <v>82</v>
      </c>
    </row>
    <row r="370" spans="1:13">
      <c r="A370" s="18" t="s">
        <v>41</v>
      </c>
      <c r="B370" s="18" t="s">
        <v>35</v>
      </c>
      <c r="C370" s="18" t="s">
        <v>263</v>
      </c>
      <c r="D370" s="18">
        <v>4.4</v>
      </c>
      <c r="E370" s="18" t="s">
        <v>47</v>
      </c>
      <c r="F370" s="18">
        <v>8</v>
      </c>
      <c r="G370" s="18">
        <v>1</v>
      </c>
      <c r="H370" s="18"/>
      <c r="I370" s="18"/>
      <c r="J370" s="18" t="s">
        <v>199</v>
      </c>
      <c r="K370" s="18" t="s">
        <v>200</v>
      </c>
      <c r="L370" s="8" t="s">
        <v>49</v>
      </c>
      <c r="M370" s="8" t="s">
        <v>50</v>
      </c>
    </row>
    <row r="371" spans="1:13">
      <c r="A371" s="18" t="s">
        <v>41</v>
      </c>
      <c r="B371" s="18" t="s">
        <v>35</v>
      </c>
      <c r="C371" s="18" t="s">
        <v>263</v>
      </c>
      <c r="D371" s="18">
        <v>4.4</v>
      </c>
      <c r="E371" s="18" t="s">
        <v>38</v>
      </c>
      <c r="F371" s="18">
        <v>5</v>
      </c>
      <c r="G371" s="18">
        <v>1</v>
      </c>
      <c r="H371" s="18"/>
      <c r="I371" s="18"/>
      <c r="J371" s="18" t="s">
        <v>24</v>
      </c>
      <c r="K371" s="18" t="s">
        <v>25</v>
      </c>
      <c r="L371" s="8" t="s">
        <v>39</v>
      </c>
      <c r="M371" s="8" t="s">
        <v>40</v>
      </c>
    </row>
  </sheetData>
  <autoFilter xmlns:etc="http://www.wps.cn/officeDocument/2017/etCustomData" ref="A1:M371" etc:filterBottomFollowUsedRange="0">
    <extLst/>
  </autoFilter>
  <mergeCells count="1">
    <mergeCell ref="A1:M1"/>
  </mergeCells>
  <dataValidations count="1">
    <dataValidation type="list" allowBlank="1" showInputMessage="1" showErrorMessage="1" sqref="K188 K265:K287">
      <formula1>"1(4/4),0.75(3/4),0.6(2/4+votepass),0.4(2/4+votedenied),0.25(1/4)"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4"/>
  <sheetViews>
    <sheetView zoomScale="55" zoomScaleNormal="55" workbookViewId="0">
      <pane ySplit="1" topLeftCell="A80" activePane="bottomLeft" state="frozen"/>
      <selection/>
      <selection pane="bottomLeft" activeCell="J113" sqref="J113"/>
    </sheetView>
  </sheetViews>
  <sheetFormatPr defaultColWidth="8.61261261261261" defaultRowHeight="14.1"/>
  <cols>
    <col min="1" max="1" width="20.7117117117117" customWidth="1"/>
    <col min="2" max="2" width="11.7027027027027" customWidth="1"/>
    <col min="3" max="3" width="19.5495495495495" customWidth="1"/>
    <col min="4" max="4" width="33.2252252252252" customWidth="1"/>
    <col min="5" max="5" width="12.8558558558559" customWidth="1"/>
    <col min="6" max="6" width="59.2702702702703" customWidth="1"/>
    <col min="7" max="7" width="36.6306306306306" customWidth="1"/>
    <col min="8" max="8" width="11.7027027027027" customWidth="1"/>
    <col min="9" max="9" width="13.9369369369369" customWidth="1"/>
    <col min="10" max="10" width="11.7027027027027" customWidth="1"/>
    <col min="11" max="11" width="20.7117117117117" customWidth="1"/>
    <col min="12" max="12" width="17.3243243243243" customWidth="1"/>
  </cols>
  <sheetData>
    <row r="1" spans="1:12">
      <c r="A1" t="s">
        <v>6</v>
      </c>
      <c r="B1" t="s">
        <v>266</v>
      </c>
      <c r="C1" t="s">
        <v>267</v>
      </c>
      <c r="D1" t="s">
        <v>268</v>
      </c>
      <c r="E1" t="s">
        <v>269</v>
      </c>
      <c r="F1" t="s">
        <v>270</v>
      </c>
      <c r="G1" t="s">
        <v>271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  <row r="2" spans="1:12">
      <c r="A2" t="s">
        <v>272</v>
      </c>
      <c r="B2" t="s">
        <v>272</v>
      </c>
      <c r="C2" t="s">
        <v>272</v>
      </c>
      <c r="D2" t="s">
        <v>272</v>
      </c>
      <c r="E2" t="s">
        <v>272</v>
      </c>
      <c r="F2" t="s">
        <v>272</v>
      </c>
      <c r="G2" t="s">
        <v>272</v>
      </c>
      <c r="H2" t="s">
        <v>272</v>
      </c>
      <c r="I2">
        <f ca="1">RANDBETWEEN(10000,99999)</f>
        <v>56106</v>
      </c>
      <c r="J2" t="str">
        <f ca="1">IF(MOD(I2,2)=0,"China-backup","US-backup")</f>
        <v>China-backup</v>
      </c>
      <c r="K2" t="s">
        <v>272</v>
      </c>
      <c r="L2" t="s">
        <v>272</v>
      </c>
    </row>
    <row r="3" spans="1:12">
      <c r="A3" t="str">
        <f t="shared" ref="A3:A66" si="0">C3&amp;"-"&amp;B3</f>
        <v>P.R. China-gov</v>
      </c>
      <c r="B3" t="s">
        <v>21</v>
      </c>
      <c r="C3" t="s">
        <v>257</v>
      </c>
      <c r="D3" t="s">
        <v>273</v>
      </c>
      <c r="E3" t="str">
        <f t="shared" ref="E3:E66" si="1">IF(OR(D3="Doubao Seed 2.0 Pro",D3="DeepSeek Reasoner V3.2"),"China","US")</f>
        <v>China</v>
      </c>
      <c r="F3" t="s">
        <v>274</v>
      </c>
      <c r="G3" t="s">
        <v>121</v>
      </c>
      <c r="H3" s="4" t="s">
        <v>197</v>
      </c>
      <c r="I3" s="4"/>
      <c r="J3" s="4"/>
      <c r="K3" s="4"/>
      <c r="L3" s="4"/>
    </row>
    <row r="4" spans="1:12">
      <c r="A4" t="str">
        <f t="shared" si="0"/>
        <v>P.R. China-gov</v>
      </c>
      <c r="B4" t="s">
        <v>21</v>
      </c>
      <c r="C4" t="s">
        <v>257</v>
      </c>
      <c r="D4" t="s">
        <v>273</v>
      </c>
      <c r="E4" t="str">
        <f t="shared" si="1"/>
        <v>China</v>
      </c>
      <c r="F4" t="s">
        <v>275</v>
      </c>
      <c r="G4" t="s">
        <v>128</v>
      </c>
      <c r="H4" s="4"/>
      <c r="I4" s="4"/>
      <c r="J4" s="4"/>
      <c r="K4" s="4"/>
      <c r="L4" s="4"/>
    </row>
    <row r="5" spans="1:12">
      <c r="A5" t="str">
        <f t="shared" si="0"/>
        <v>P.R. China-gov</v>
      </c>
      <c r="B5" t="s">
        <v>21</v>
      </c>
      <c r="C5" t="s">
        <v>257</v>
      </c>
      <c r="D5" t="s">
        <v>273</v>
      </c>
      <c r="E5" t="str">
        <f t="shared" si="1"/>
        <v>China</v>
      </c>
      <c r="F5" t="s">
        <v>276</v>
      </c>
      <c r="G5" t="s">
        <v>121</v>
      </c>
      <c r="H5" s="4"/>
      <c r="I5" s="4"/>
      <c r="J5" s="4"/>
      <c r="K5" s="4"/>
      <c r="L5" s="4"/>
    </row>
    <row r="6" spans="1:12">
      <c r="A6" t="str">
        <f t="shared" si="0"/>
        <v>P.R. China-gov</v>
      </c>
      <c r="B6" t="s">
        <v>21</v>
      </c>
      <c r="C6" t="s">
        <v>257</v>
      </c>
      <c r="D6" t="s">
        <v>273</v>
      </c>
      <c r="E6" t="str">
        <f t="shared" si="1"/>
        <v>China</v>
      </c>
      <c r="F6" t="s">
        <v>277</v>
      </c>
      <c r="G6" t="s">
        <v>128</v>
      </c>
      <c r="H6" s="4"/>
      <c r="I6" s="4"/>
      <c r="J6" s="4"/>
      <c r="K6" s="4"/>
      <c r="L6" s="4"/>
    </row>
    <row r="7" spans="1:12">
      <c r="A7" t="str">
        <f t="shared" si="0"/>
        <v>P.R. China-gov</v>
      </c>
      <c r="B7" t="s">
        <v>21</v>
      </c>
      <c r="C7" t="s">
        <v>257</v>
      </c>
      <c r="D7" t="s">
        <v>273</v>
      </c>
      <c r="E7" t="str">
        <f t="shared" si="1"/>
        <v>China</v>
      </c>
      <c r="F7" t="s">
        <v>278</v>
      </c>
      <c r="G7" t="s">
        <v>80</v>
      </c>
      <c r="H7" s="4"/>
      <c r="I7" s="4"/>
      <c r="J7" s="4"/>
      <c r="K7" s="4"/>
      <c r="L7" s="4"/>
    </row>
    <row r="8" spans="1:12">
      <c r="A8" t="str">
        <f t="shared" si="0"/>
        <v>P.R. China-gov</v>
      </c>
      <c r="B8" t="s">
        <v>21</v>
      </c>
      <c r="C8" t="s">
        <v>257</v>
      </c>
      <c r="D8" t="s">
        <v>273</v>
      </c>
      <c r="E8" t="str">
        <f t="shared" si="1"/>
        <v>China</v>
      </c>
      <c r="F8" t="s">
        <v>279</v>
      </c>
      <c r="G8" t="s">
        <v>108</v>
      </c>
      <c r="H8" s="4"/>
      <c r="I8" s="4"/>
      <c r="J8" s="4"/>
      <c r="K8" s="4"/>
      <c r="L8" s="4"/>
    </row>
    <row r="9" spans="1:12">
      <c r="A9" t="str">
        <f t="shared" si="0"/>
        <v>P.R. China-gov</v>
      </c>
      <c r="B9" t="s">
        <v>21</v>
      </c>
      <c r="C9" t="s">
        <v>257</v>
      </c>
      <c r="D9" t="s">
        <v>273</v>
      </c>
      <c r="E9" t="str">
        <f t="shared" si="1"/>
        <v>China</v>
      </c>
      <c r="F9" t="s">
        <v>280</v>
      </c>
      <c r="G9" t="s">
        <v>100</v>
      </c>
      <c r="H9" s="4"/>
      <c r="I9" s="4"/>
      <c r="J9" s="4"/>
      <c r="K9" s="4"/>
      <c r="L9" s="4"/>
    </row>
    <row r="10" spans="1:12">
      <c r="A10" t="str">
        <f t="shared" si="0"/>
        <v>P.R. China-gov</v>
      </c>
      <c r="B10" t="s">
        <v>21</v>
      </c>
      <c r="C10" t="s">
        <v>257</v>
      </c>
      <c r="D10" t="s">
        <v>273</v>
      </c>
      <c r="E10" t="str">
        <f t="shared" si="1"/>
        <v>China</v>
      </c>
      <c r="F10" t="s">
        <v>281</v>
      </c>
      <c r="G10" t="s">
        <v>121</v>
      </c>
      <c r="H10" s="4"/>
      <c r="I10" s="4"/>
      <c r="J10" s="4"/>
      <c r="K10" s="4"/>
      <c r="L10" s="4"/>
    </row>
    <row r="11" spans="1:12">
      <c r="A11" t="str">
        <f t="shared" si="0"/>
        <v>P.R. China-gov</v>
      </c>
      <c r="B11" t="s">
        <v>21</v>
      </c>
      <c r="C11" t="s">
        <v>257</v>
      </c>
      <c r="D11" t="s">
        <v>273</v>
      </c>
      <c r="E11" t="str">
        <f t="shared" si="1"/>
        <v>China</v>
      </c>
      <c r="F11" t="s">
        <v>282</v>
      </c>
      <c r="G11" t="s">
        <v>121</v>
      </c>
      <c r="H11" s="4"/>
      <c r="I11" s="4"/>
      <c r="J11" s="4"/>
      <c r="K11" s="4"/>
      <c r="L11" s="4"/>
    </row>
    <row r="12" spans="1:12">
      <c r="A12" t="str">
        <f t="shared" si="0"/>
        <v>P.R. China-gov</v>
      </c>
      <c r="B12" t="s">
        <v>21</v>
      </c>
      <c r="C12" t="s">
        <v>257</v>
      </c>
      <c r="D12" t="s">
        <v>273</v>
      </c>
      <c r="E12" t="str">
        <f t="shared" si="1"/>
        <v>China</v>
      </c>
      <c r="F12" t="s">
        <v>283</v>
      </c>
      <c r="G12" t="s">
        <v>212</v>
      </c>
      <c r="H12" s="4"/>
      <c r="I12" s="4"/>
      <c r="J12" s="4"/>
      <c r="K12" s="4"/>
      <c r="L12" s="4"/>
    </row>
    <row r="13" spans="1:12">
      <c r="A13" t="str">
        <f t="shared" si="0"/>
        <v>P.R. China-gov</v>
      </c>
      <c r="B13" t="s">
        <v>21</v>
      </c>
      <c r="C13" t="s">
        <v>257</v>
      </c>
      <c r="D13" t="s">
        <v>273</v>
      </c>
      <c r="E13" t="str">
        <f t="shared" si="1"/>
        <v>China</v>
      </c>
      <c r="F13" t="s">
        <v>284</v>
      </c>
      <c r="G13" t="s">
        <v>93</v>
      </c>
      <c r="H13" s="4"/>
      <c r="I13" s="4"/>
      <c r="J13" s="4"/>
      <c r="K13" s="4"/>
      <c r="L13" s="4"/>
    </row>
    <row r="14" spans="1:12">
      <c r="A14" t="str">
        <f t="shared" si="0"/>
        <v>P.R. China-gov</v>
      </c>
      <c r="B14" t="s">
        <v>21</v>
      </c>
      <c r="C14" t="s">
        <v>257</v>
      </c>
      <c r="D14" t="s">
        <v>273</v>
      </c>
      <c r="E14" t="str">
        <f t="shared" si="1"/>
        <v>China</v>
      </c>
      <c r="F14" t="s">
        <v>285</v>
      </c>
      <c r="G14" t="s">
        <v>207</v>
      </c>
      <c r="H14" s="4"/>
      <c r="I14" s="4"/>
      <c r="J14" s="4"/>
      <c r="K14" s="4"/>
      <c r="L14" s="4"/>
    </row>
    <row r="15" spans="1:12">
      <c r="A15" t="str">
        <f t="shared" si="0"/>
        <v>P.R. China-gov</v>
      </c>
      <c r="B15" t="s">
        <v>21</v>
      </c>
      <c r="C15" t="s">
        <v>257</v>
      </c>
      <c r="D15" t="s">
        <v>273</v>
      </c>
      <c r="E15" t="str">
        <f t="shared" si="1"/>
        <v>China</v>
      </c>
      <c r="F15" t="s">
        <v>286</v>
      </c>
      <c r="G15" t="s">
        <v>124</v>
      </c>
      <c r="H15" s="4"/>
      <c r="I15" s="4"/>
      <c r="J15" s="4"/>
      <c r="K15" s="4"/>
      <c r="L15" s="4"/>
    </row>
    <row r="16" spans="1:12">
      <c r="A16" t="str">
        <f t="shared" si="0"/>
        <v>P.R. China-gov</v>
      </c>
      <c r="B16" t="s">
        <v>21</v>
      </c>
      <c r="C16" t="s">
        <v>257</v>
      </c>
      <c r="D16" t="s">
        <v>273</v>
      </c>
      <c r="E16" t="str">
        <f t="shared" si="1"/>
        <v>China</v>
      </c>
      <c r="F16" t="s">
        <v>287</v>
      </c>
      <c r="G16" t="s">
        <v>124</v>
      </c>
      <c r="H16" s="4"/>
      <c r="I16" s="4"/>
      <c r="J16" s="4"/>
      <c r="K16" s="4"/>
      <c r="L16" s="4"/>
    </row>
    <row r="17" spans="1:12">
      <c r="A17" t="str">
        <f t="shared" si="0"/>
        <v>P.R. China-gov</v>
      </c>
      <c r="B17" t="s">
        <v>21</v>
      </c>
      <c r="C17" t="s">
        <v>257</v>
      </c>
      <c r="D17" t="s">
        <v>273</v>
      </c>
      <c r="E17" t="str">
        <f t="shared" si="1"/>
        <v>China</v>
      </c>
      <c r="F17" t="s">
        <v>288</v>
      </c>
      <c r="G17" t="s">
        <v>126</v>
      </c>
      <c r="H17" s="4"/>
      <c r="I17" s="4"/>
      <c r="J17" s="4"/>
      <c r="K17" s="4"/>
      <c r="L17" s="4"/>
    </row>
    <row r="18" spans="1:12">
      <c r="A18" t="str">
        <f t="shared" si="0"/>
        <v>P.R. China-gov</v>
      </c>
      <c r="B18" t="s">
        <v>21</v>
      </c>
      <c r="C18" t="s">
        <v>257</v>
      </c>
      <c r="D18" t="s">
        <v>273</v>
      </c>
      <c r="E18" t="str">
        <f t="shared" si="1"/>
        <v>China</v>
      </c>
      <c r="F18" t="s">
        <v>289</v>
      </c>
      <c r="G18" t="s">
        <v>208</v>
      </c>
      <c r="H18" s="4"/>
      <c r="I18" s="4"/>
      <c r="J18" s="4"/>
      <c r="K18" s="4"/>
      <c r="L18" s="4"/>
    </row>
    <row r="19" spans="1:12">
      <c r="A19" t="str">
        <f t="shared" si="0"/>
        <v>P.R. China-gov</v>
      </c>
      <c r="B19" t="s">
        <v>21</v>
      </c>
      <c r="C19" t="s">
        <v>257</v>
      </c>
      <c r="D19" t="s">
        <v>273</v>
      </c>
      <c r="E19" t="str">
        <f t="shared" si="1"/>
        <v>China</v>
      </c>
      <c r="F19" t="s">
        <v>290</v>
      </c>
      <c r="G19" t="s">
        <v>85</v>
      </c>
      <c r="H19" s="4"/>
      <c r="I19" s="4"/>
      <c r="J19" s="4"/>
      <c r="K19" s="4"/>
      <c r="L19" s="4"/>
    </row>
    <row r="20" spans="1:12">
      <c r="A20" t="str">
        <f t="shared" si="0"/>
        <v>P.R. China-gov</v>
      </c>
      <c r="B20" t="s">
        <v>21</v>
      </c>
      <c r="C20" t="s">
        <v>257</v>
      </c>
      <c r="D20" t="s">
        <v>273</v>
      </c>
      <c r="E20" t="str">
        <f t="shared" si="1"/>
        <v>China</v>
      </c>
      <c r="F20" t="s">
        <v>291</v>
      </c>
      <c r="G20" t="s">
        <v>123</v>
      </c>
      <c r="H20" s="4"/>
      <c r="I20" s="4"/>
      <c r="J20" s="4"/>
      <c r="K20" s="4"/>
      <c r="L20" s="4"/>
    </row>
    <row r="21" spans="1:12">
      <c r="A21" t="str">
        <f t="shared" si="0"/>
        <v>P.R. China-gov</v>
      </c>
      <c r="B21" t="s">
        <v>21</v>
      </c>
      <c r="C21" t="s">
        <v>257</v>
      </c>
      <c r="D21" t="s">
        <v>273</v>
      </c>
      <c r="E21" t="str">
        <f t="shared" si="1"/>
        <v>China</v>
      </c>
      <c r="F21" t="s">
        <v>292</v>
      </c>
      <c r="G21" t="s">
        <v>107</v>
      </c>
      <c r="H21" s="4"/>
      <c r="I21" s="4"/>
      <c r="J21" s="4"/>
      <c r="K21" s="4"/>
      <c r="L21" s="4"/>
    </row>
    <row r="22" spans="1:12">
      <c r="A22" t="str">
        <f t="shared" si="0"/>
        <v>P.R. China-gov</v>
      </c>
      <c r="B22" t="s">
        <v>21</v>
      </c>
      <c r="C22" t="s">
        <v>257</v>
      </c>
      <c r="D22" t="s">
        <v>273</v>
      </c>
      <c r="E22" t="str">
        <f t="shared" si="1"/>
        <v>China</v>
      </c>
      <c r="F22" t="s">
        <v>293</v>
      </c>
      <c r="G22" t="s">
        <v>108</v>
      </c>
      <c r="H22" s="4"/>
      <c r="I22" s="4"/>
      <c r="J22" s="4"/>
      <c r="K22" s="4"/>
      <c r="L22" s="4"/>
    </row>
    <row r="23" spans="1:12">
      <c r="A23" t="str">
        <f t="shared" si="0"/>
        <v>P.R. China-gov</v>
      </c>
      <c r="B23" t="s">
        <v>21</v>
      </c>
      <c r="C23" t="s">
        <v>257</v>
      </c>
      <c r="D23" t="s">
        <v>273</v>
      </c>
      <c r="E23" t="str">
        <f t="shared" si="1"/>
        <v>China</v>
      </c>
      <c r="F23" t="s">
        <v>294</v>
      </c>
      <c r="G23" t="s">
        <v>122</v>
      </c>
      <c r="H23" s="4"/>
      <c r="I23" s="4"/>
      <c r="J23" s="4"/>
      <c r="K23" s="4"/>
      <c r="L23" s="4"/>
    </row>
    <row r="24" spans="1:12">
      <c r="A24" t="str">
        <f t="shared" si="0"/>
        <v>P.R. China-gov</v>
      </c>
      <c r="B24" t="s">
        <v>21</v>
      </c>
      <c r="C24" t="s">
        <v>257</v>
      </c>
      <c r="D24" t="s">
        <v>273</v>
      </c>
      <c r="E24" t="str">
        <f t="shared" si="1"/>
        <v>China</v>
      </c>
      <c r="F24" t="s">
        <v>295</v>
      </c>
      <c r="G24" t="s">
        <v>118</v>
      </c>
      <c r="H24" s="4"/>
      <c r="I24" s="4"/>
      <c r="J24" s="4"/>
      <c r="K24" s="4"/>
      <c r="L24" s="4"/>
    </row>
    <row r="25" spans="1:12">
      <c r="A25" t="str">
        <f t="shared" si="0"/>
        <v>P.R. China-gov</v>
      </c>
      <c r="B25" t="s">
        <v>21</v>
      </c>
      <c r="C25" t="s">
        <v>257</v>
      </c>
      <c r="D25" t="s">
        <v>273</v>
      </c>
      <c r="E25" t="str">
        <f t="shared" si="1"/>
        <v>China</v>
      </c>
      <c r="F25" t="s">
        <v>296</v>
      </c>
      <c r="G25" t="s">
        <v>104</v>
      </c>
      <c r="H25" s="4"/>
      <c r="I25" s="4"/>
      <c r="J25" s="4"/>
      <c r="K25" s="4"/>
      <c r="L25" s="4"/>
    </row>
    <row r="26" spans="1:12">
      <c r="A26" t="str">
        <f t="shared" si="0"/>
        <v>P.R. China-gov</v>
      </c>
      <c r="B26" t="s">
        <v>21</v>
      </c>
      <c r="C26" t="s">
        <v>257</v>
      </c>
      <c r="D26" t="s">
        <v>297</v>
      </c>
      <c r="E26" t="str">
        <f t="shared" si="1"/>
        <v>China</v>
      </c>
      <c r="F26" t="s">
        <v>298</v>
      </c>
      <c r="G26" t="s">
        <v>121</v>
      </c>
      <c r="H26" s="4"/>
      <c r="I26" s="4"/>
      <c r="J26" s="4"/>
      <c r="K26" s="4"/>
      <c r="L26" s="4"/>
    </row>
    <row r="27" spans="1:12">
      <c r="A27" t="str">
        <f t="shared" si="0"/>
        <v>P.R. China-gov</v>
      </c>
      <c r="B27" t="s">
        <v>21</v>
      </c>
      <c r="C27" t="s">
        <v>257</v>
      </c>
      <c r="D27" t="s">
        <v>297</v>
      </c>
      <c r="E27" t="str">
        <f t="shared" si="1"/>
        <v>China</v>
      </c>
      <c r="F27" t="s">
        <v>299</v>
      </c>
      <c r="G27" t="s">
        <v>208</v>
      </c>
      <c r="H27" s="4"/>
      <c r="I27" s="4"/>
      <c r="J27" s="4"/>
      <c r="K27" s="4"/>
      <c r="L27" s="4"/>
    </row>
    <row r="28" spans="1:12">
      <c r="A28" t="str">
        <f t="shared" si="0"/>
        <v>P.R. China-gov</v>
      </c>
      <c r="B28" t="s">
        <v>21</v>
      </c>
      <c r="C28" t="s">
        <v>257</v>
      </c>
      <c r="D28" t="s">
        <v>297</v>
      </c>
      <c r="E28" t="str">
        <f t="shared" si="1"/>
        <v>China</v>
      </c>
      <c r="F28" t="s">
        <v>300</v>
      </c>
      <c r="G28" t="s">
        <v>128</v>
      </c>
      <c r="H28" s="4"/>
      <c r="I28" s="4"/>
      <c r="J28" s="4"/>
      <c r="K28" s="4"/>
      <c r="L28" s="4"/>
    </row>
    <row r="29" spans="1:12">
      <c r="A29" t="str">
        <f t="shared" si="0"/>
        <v>P.R. China-gov</v>
      </c>
      <c r="B29" t="s">
        <v>21</v>
      </c>
      <c r="C29" t="s">
        <v>257</v>
      </c>
      <c r="D29" t="s">
        <v>297</v>
      </c>
      <c r="E29" t="str">
        <f t="shared" si="1"/>
        <v>China</v>
      </c>
      <c r="F29" t="s">
        <v>301</v>
      </c>
      <c r="G29" t="s">
        <v>108</v>
      </c>
      <c r="H29" s="4"/>
      <c r="I29" s="4"/>
      <c r="J29" s="4"/>
      <c r="K29" s="4"/>
      <c r="L29" s="4"/>
    </row>
    <row r="30" spans="1:12">
      <c r="A30" t="str">
        <f t="shared" si="0"/>
        <v>P.R. China-gov</v>
      </c>
      <c r="B30" t="s">
        <v>21</v>
      </c>
      <c r="C30" t="s">
        <v>257</v>
      </c>
      <c r="D30" t="s">
        <v>297</v>
      </c>
      <c r="E30" t="str">
        <f t="shared" si="1"/>
        <v>China</v>
      </c>
      <c r="F30" t="s">
        <v>302</v>
      </c>
      <c r="G30" t="s">
        <v>108</v>
      </c>
      <c r="H30" s="4"/>
      <c r="I30" s="4"/>
      <c r="J30" s="4"/>
      <c r="K30" s="4"/>
      <c r="L30" s="4"/>
    </row>
    <row r="31" spans="1:12">
      <c r="A31" t="str">
        <f t="shared" si="0"/>
        <v>P.R. China-gov</v>
      </c>
      <c r="B31" t="s">
        <v>21</v>
      </c>
      <c r="C31" t="s">
        <v>257</v>
      </c>
      <c r="D31" t="s">
        <v>297</v>
      </c>
      <c r="E31" t="str">
        <f t="shared" si="1"/>
        <v>China</v>
      </c>
      <c r="F31" t="s">
        <v>303</v>
      </c>
      <c r="G31" t="s">
        <v>125</v>
      </c>
      <c r="H31" s="4"/>
      <c r="I31" s="4"/>
      <c r="J31" s="4"/>
      <c r="K31" s="4"/>
      <c r="L31" s="4"/>
    </row>
    <row r="32" spans="1:12">
      <c r="A32" t="str">
        <f t="shared" si="0"/>
        <v>P.R. China-gov</v>
      </c>
      <c r="B32" t="s">
        <v>21</v>
      </c>
      <c r="C32" t="s">
        <v>257</v>
      </c>
      <c r="D32" t="s">
        <v>297</v>
      </c>
      <c r="E32" t="str">
        <f t="shared" si="1"/>
        <v>China</v>
      </c>
      <c r="F32" t="s">
        <v>304</v>
      </c>
      <c r="G32" t="s">
        <v>93</v>
      </c>
      <c r="H32" s="4"/>
      <c r="I32" s="4"/>
      <c r="J32" s="4"/>
      <c r="K32" s="4"/>
      <c r="L32" s="4"/>
    </row>
    <row r="33" spans="1:12">
      <c r="A33" t="str">
        <f t="shared" si="0"/>
        <v>P.R. China-gov</v>
      </c>
      <c r="B33" t="s">
        <v>21</v>
      </c>
      <c r="C33" t="s">
        <v>257</v>
      </c>
      <c r="D33" t="s">
        <v>297</v>
      </c>
      <c r="E33" t="str">
        <f t="shared" si="1"/>
        <v>China</v>
      </c>
      <c r="F33" t="s">
        <v>305</v>
      </c>
      <c r="G33" t="s">
        <v>100</v>
      </c>
      <c r="H33" s="4"/>
      <c r="I33" s="4"/>
      <c r="J33" s="4"/>
      <c r="K33" s="4"/>
      <c r="L33" s="4"/>
    </row>
    <row r="34" spans="1:12">
      <c r="A34" t="str">
        <f t="shared" si="0"/>
        <v>P.R. China-gov</v>
      </c>
      <c r="B34" t="s">
        <v>21</v>
      </c>
      <c r="C34" t="s">
        <v>257</v>
      </c>
      <c r="D34" t="s">
        <v>297</v>
      </c>
      <c r="E34" t="str">
        <f t="shared" si="1"/>
        <v>China</v>
      </c>
      <c r="F34" t="s">
        <v>306</v>
      </c>
      <c r="G34" t="s">
        <v>124</v>
      </c>
      <c r="H34" s="4"/>
      <c r="I34" s="4"/>
      <c r="J34" s="4"/>
      <c r="K34" s="4"/>
      <c r="L34" s="4"/>
    </row>
    <row r="35" spans="1:12">
      <c r="A35" t="str">
        <f t="shared" si="0"/>
        <v>P.R. China-gov</v>
      </c>
      <c r="B35" t="s">
        <v>21</v>
      </c>
      <c r="C35" t="s">
        <v>257</v>
      </c>
      <c r="D35" t="s">
        <v>297</v>
      </c>
      <c r="E35" t="str">
        <f t="shared" si="1"/>
        <v>China</v>
      </c>
      <c r="F35" t="s">
        <v>307</v>
      </c>
      <c r="G35" t="s">
        <v>126</v>
      </c>
      <c r="H35" s="4"/>
      <c r="I35" s="4"/>
      <c r="J35" s="4"/>
      <c r="K35" s="4"/>
      <c r="L35" s="4"/>
    </row>
    <row r="36" spans="1:12">
      <c r="A36" t="str">
        <f t="shared" si="0"/>
        <v>P.R. China-gov</v>
      </c>
      <c r="B36" t="s">
        <v>21</v>
      </c>
      <c r="C36" t="s">
        <v>257</v>
      </c>
      <c r="D36" t="s">
        <v>297</v>
      </c>
      <c r="E36" t="str">
        <f t="shared" si="1"/>
        <v>China</v>
      </c>
      <c r="F36" t="s">
        <v>308</v>
      </c>
      <c r="G36" t="s">
        <v>126</v>
      </c>
      <c r="H36" s="4"/>
      <c r="I36" s="4"/>
      <c r="J36" s="4"/>
      <c r="K36" s="4"/>
      <c r="L36" s="4"/>
    </row>
    <row r="37" spans="1:12">
      <c r="A37" t="str">
        <f t="shared" si="0"/>
        <v>P.R. China-gov</v>
      </c>
      <c r="B37" t="s">
        <v>21</v>
      </c>
      <c r="C37" t="s">
        <v>257</v>
      </c>
      <c r="D37" t="s">
        <v>297</v>
      </c>
      <c r="E37" t="str">
        <f t="shared" si="1"/>
        <v>China</v>
      </c>
      <c r="F37" t="s">
        <v>309</v>
      </c>
      <c r="G37" t="s">
        <v>104</v>
      </c>
      <c r="H37" s="4"/>
      <c r="I37" s="4"/>
      <c r="J37" s="4"/>
      <c r="K37" s="4"/>
      <c r="L37" s="4"/>
    </row>
    <row r="38" spans="1:12">
      <c r="A38" t="str">
        <f t="shared" si="0"/>
        <v>P.R. China-gov</v>
      </c>
      <c r="B38" t="s">
        <v>21</v>
      </c>
      <c r="C38" t="s">
        <v>257</v>
      </c>
      <c r="D38" t="s">
        <v>297</v>
      </c>
      <c r="E38" t="str">
        <f t="shared" si="1"/>
        <v>China</v>
      </c>
      <c r="F38" t="s">
        <v>310</v>
      </c>
      <c r="G38" t="s">
        <v>204</v>
      </c>
      <c r="H38" s="4"/>
      <c r="I38" s="4"/>
      <c r="J38" s="4"/>
      <c r="K38" s="4"/>
      <c r="L38" s="4"/>
    </row>
    <row r="39" spans="1:12">
      <c r="A39" t="str">
        <f t="shared" si="0"/>
        <v>P.R. China-gov</v>
      </c>
      <c r="B39" t="s">
        <v>21</v>
      </c>
      <c r="C39" t="s">
        <v>257</v>
      </c>
      <c r="D39" t="s">
        <v>297</v>
      </c>
      <c r="E39" t="str">
        <f t="shared" si="1"/>
        <v>China</v>
      </c>
      <c r="F39" t="s">
        <v>311</v>
      </c>
      <c r="G39" t="s">
        <v>204</v>
      </c>
      <c r="H39" s="4"/>
      <c r="I39" s="4"/>
      <c r="J39" s="4"/>
      <c r="K39" s="4"/>
      <c r="L39" s="4"/>
    </row>
    <row r="40" spans="1:12">
      <c r="A40" t="str">
        <f t="shared" si="0"/>
        <v>P.R. China-gov</v>
      </c>
      <c r="B40" t="s">
        <v>21</v>
      </c>
      <c r="C40" t="s">
        <v>257</v>
      </c>
      <c r="D40" t="s">
        <v>297</v>
      </c>
      <c r="E40" t="str">
        <f t="shared" si="1"/>
        <v>China</v>
      </c>
      <c r="F40" t="s">
        <v>312</v>
      </c>
      <c r="G40" t="s">
        <v>130</v>
      </c>
      <c r="H40" s="4"/>
      <c r="I40" s="4"/>
      <c r="J40" s="4"/>
      <c r="K40" s="4"/>
      <c r="L40" s="4"/>
    </row>
    <row r="41" spans="1:12">
      <c r="A41" t="str">
        <f t="shared" si="0"/>
        <v>P.R. China-gov</v>
      </c>
      <c r="B41" t="s">
        <v>21</v>
      </c>
      <c r="C41" t="s">
        <v>257</v>
      </c>
      <c r="D41" t="s">
        <v>297</v>
      </c>
      <c r="E41" t="str">
        <f t="shared" si="1"/>
        <v>China</v>
      </c>
      <c r="F41" t="s">
        <v>313</v>
      </c>
      <c r="G41" t="s">
        <v>210</v>
      </c>
      <c r="H41" s="4"/>
      <c r="I41" s="4"/>
      <c r="J41" s="4"/>
      <c r="K41" s="4"/>
      <c r="L41" s="4"/>
    </row>
    <row r="42" spans="1:12">
      <c r="A42" t="str">
        <f t="shared" si="0"/>
        <v>P.R. China-gov</v>
      </c>
      <c r="B42" t="s">
        <v>21</v>
      </c>
      <c r="C42" t="s">
        <v>257</v>
      </c>
      <c r="D42" t="s">
        <v>314</v>
      </c>
      <c r="E42" t="str">
        <f t="shared" si="1"/>
        <v>US</v>
      </c>
      <c r="F42" t="s">
        <v>315</v>
      </c>
      <c r="G42" t="s">
        <v>125</v>
      </c>
      <c r="H42" s="4"/>
      <c r="I42" s="4"/>
      <c r="J42" s="4"/>
      <c r="K42" s="4"/>
      <c r="L42" s="4"/>
    </row>
    <row r="43" spans="1:12">
      <c r="A43" t="str">
        <f t="shared" si="0"/>
        <v>P.R. China-gov</v>
      </c>
      <c r="B43" t="s">
        <v>21</v>
      </c>
      <c r="C43" t="s">
        <v>257</v>
      </c>
      <c r="D43" t="s">
        <v>314</v>
      </c>
      <c r="E43" t="str">
        <f t="shared" si="1"/>
        <v>US</v>
      </c>
      <c r="F43" t="s">
        <v>275</v>
      </c>
      <c r="G43" t="s">
        <v>128</v>
      </c>
      <c r="H43" s="4"/>
      <c r="I43" s="4"/>
      <c r="J43" s="4"/>
      <c r="K43" s="4"/>
      <c r="L43" s="4"/>
    </row>
    <row r="44" spans="1:12">
      <c r="A44" t="str">
        <f t="shared" si="0"/>
        <v>P.R. China-gov</v>
      </c>
      <c r="B44" t="s">
        <v>21</v>
      </c>
      <c r="C44" t="s">
        <v>257</v>
      </c>
      <c r="D44" t="s">
        <v>314</v>
      </c>
      <c r="E44" t="str">
        <f t="shared" si="1"/>
        <v>US</v>
      </c>
      <c r="F44" t="s">
        <v>316</v>
      </c>
      <c r="G44" t="s">
        <v>100</v>
      </c>
      <c r="H44" s="4"/>
      <c r="I44" s="4"/>
      <c r="J44" s="4"/>
      <c r="K44" s="4"/>
      <c r="L44" s="4"/>
    </row>
    <row r="45" spans="1:12">
      <c r="A45" t="str">
        <f t="shared" si="0"/>
        <v>P.R. China-gov</v>
      </c>
      <c r="B45" t="s">
        <v>21</v>
      </c>
      <c r="C45" t="s">
        <v>257</v>
      </c>
      <c r="D45" t="s">
        <v>314</v>
      </c>
      <c r="E45" t="str">
        <f t="shared" si="1"/>
        <v>US</v>
      </c>
      <c r="F45" t="s">
        <v>317</v>
      </c>
      <c r="G45" t="s">
        <v>201</v>
      </c>
      <c r="H45" s="4"/>
      <c r="I45" s="4"/>
      <c r="J45" s="4"/>
      <c r="K45" s="4"/>
      <c r="L45" s="4"/>
    </row>
    <row r="46" spans="1:12">
      <c r="A46" t="str">
        <f t="shared" si="0"/>
        <v>P.R. China-gov</v>
      </c>
      <c r="B46" t="s">
        <v>21</v>
      </c>
      <c r="C46" t="s">
        <v>257</v>
      </c>
      <c r="D46" t="s">
        <v>314</v>
      </c>
      <c r="E46" t="str">
        <f t="shared" si="1"/>
        <v>US</v>
      </c>
      <c r="F46" t="s">
        <v>130</v>
      </c>
      <c r="G46" t="s">
        <v>130</v>
      </c>
      <c r="H46" s="4"/>
      <c r="I46" s="4"/>
      <c r="J46" s="4"/>
      <c r="K46" s="4"/>
      <c r="L46" s="4"/>
    </row>
    <row r="47" spans="1:12">
      <c r="A47" t="str">
        <f t="shared" si="0"/>
        <v>P.R. China-gov</v>
      </c>
      <c r="B47" t="s">
        <v>21</v>
      </c>
      <c r="C47" t="s">
        <v>257</v>
      </c>
      <c r="D47" t="s">
        <v>314</v>
      </c>
      <c r="E47" t="str">
        <f t="shared" si="1"/>
        <v>US</v>
      </c>
      <c r="F47" t="s">
        <v>318</v>
      </c>
      <c r="G47" t="s">
        <v>58</v>
      </c>
      <c r="H47" s="4"/>
      <c r="I47" s="4"/>
      <c r="J47" s="4"/>
      <c r="K47" s="4"/>
      <c r="L47" s="4"/>
    </row>
    <row r="48" spans="1:12">
      <c r="A48" t="str">
        <f t="shared" si="0"/>
        <v>P.R. China-gov</v>
      </c>
      <c r="B48" t="s">
        <v>21</v>
      </c>
      <c r="C48" t="s">
        <v>257</v>
      </c>
      <c r="D48" t="s">
        <v>314</v>
      </c>
      <c r="E48" t="str">
        <f t="shared" si="1"/>
        <v>US</v>
      </c>
      <c r="F48" t="s">
        <v>319</v>
      </c>
      <c r="G48" t="s">
        <v>206</v>
      </c>
      <c r="H48" s="4"/>
      <c r="I48" s="4"/>
      <c r="J48" s="4"/>
      <c r="K48" s="4"/>
      <c r="L48" s="4"/>
    </row>
    <row r="49" spans="1:12">
      <c r="A49" t="str">
        <f t="shared" si="0"/>
        <v>P.R. China-gov</v>
      </c>
      <c r="B49" t="s">
        <v>21</v>
      </c>
      <c r="C49" t="s">
        <v>257</v>
      </c>
      <c r="D49" t="s">
        <v>314</v>
      </c>
      <c r="E49" t="str">
        <f t="shared" si="1"/>
        <v>US</v>
      </c>
      <c r="F49" t="s">
        <v>320</v>
      </c>
      <c r="G49" t="s">
        <v>206</v>
      </c>
      <c r="H49" s="4"/>
      <c r="I49" s="4"/>
      <c r="J49" s="4"/>
      <c r="K49" s="4"/>
      <c r="L49" s="4"/>
    </row>
    <row r="50" spans="1:12">
      <c r="A50" t="str">
        <f t="shared" si="0"/>
        <v>P.R. China-gov</v>
      </c>
      <c r="B50" t="s">
        <v>21</v>
      </c>
      <c r="C50" t="s">
        <v>257</v>
      </c>
      <c r="D50" t="s">
        <v>314</v>
      </c>
      <c r="E50" t="str">
        <f t="shared" si="1"/>
        <v>US</v>
      </c>
      <c r="F50" t="s">
        <v>321</v>
      </c>
      <c r="G50" t="s">
        <v>93</v>
      </c>
      <c r="H50" s="4"/>
      <c r="I50" s="4"/>
      <c r="J50" s="4"/>
      <c r="K50" s="4"/>
      <c r="L50" s="4"/>
    </row>
    <row r="51" spans="1:12">
      <c r="A51" t="str">
        <f t="shared" si="0"/>
        <v>P.R. China-gov</v>
      </c>
      <c r="B51" t="s">
        <v>21</v>
      </c>
      <c r="C51" t="s">
        <v>257</v>
      </c>
      <c r="D51" t="s">
        <v>314</v>
      </c>
      <c r="E51" t="str">
        <f t="shared" si="1"/>
        <v>US</v>
      </c>
      <c r="F51" t="s">
        <v>322</v>
      </c>
      <c r="G51" t="s">
        <v>125</v>
      </c>
      <c r="H51" s="4"/>
      <c r="I51" s="4"/>
      <c r="J51" s="4"/>
      <c r="K51" s="4"/>
      <c r="L51" s="4"/>
    </row>
    <row r="52" spans="1:12">
      <c r="A52" t="str">
        <f t="shared" si="0"/>
        <v>P.R. China-gov</v>
      </c>
      <c r="B52" t="s">
        <v>21</v>
      </c>
      <c r="C52" t="s">
        <v>257</v>
      </c>
      <c r="D52" t="s">
        <v>314</v>
      </c>
      <c r="E52" t="str">
        <f t="shared" si="1"/>
        <v>US</v>
      </c>
      <c r="F52" t="s">
        <v>323</v>
      </c>
      <c r="G52" t="s">
        <v>213</v>
      </c>
      <c r="H52" s="4"/>
      <c r="I52" s="4"/>
      <c r="J52" s="4"/>
      <c r="K52" s="4"/>
      <c r="L52" s="4"/>
    </row>
    <row r="53" spans="1:12">
      <c r="A53" t="str">
        <f t="shared" si="0"/>
        <v>P.R. China-gov</v>
      </c>
      <c r="B53" t="s">
        <v>21</v>
      </c>
      <c r="C53" t="s">
        <v>257</v>
      </c>
      <c r="D53" t="s">
        <v>314</v>
      </c>
      <c r="E53" t="str">
        <f t="shared" si="1"/>
        <v>US</v>
      </c>
      <c r="F53" t="s">
        <v>324</v>
      </c>
      <c r="G53" t="s">
        <v>201</v>
      </c>
      <c r="H53" s="4"/>
      <c r="I53" s="4"/>
      <c r="J53" s="4"/>
      <c r="K53" s="4"/>
      <c r="L53" s="4"/>
    </row>
    <row r="54" spans="1:12">
      <c r="A54" t="str">
        <f t="shared" si="0"/>
        <v>P.R. China-gov</v>
      </c>
      <c r="B54" t="s">
        <v>21</v>
      </c>
      <c r="C54" t="s">
        <v>257</v>
      </c>
      <c r="D54" t="s">
        <v>314</v>
      </c>
      <c r="E54" t="str">
        <f t="shared" si="1"/>
        <v>US</v>
      </c>
      <c r="F54" t="s">
        <v>325</v>
      </c>
      <c r="G54" t="s">
        <v>122</v>
      </c>
      <c r="H54" s="4"/>
      <c r="I54" s="4"/>
      <c r="J54" s="4"/>
      <c r="K54" s="4"/>
      <c r="L54" s="4"/>
    </row>
    <row r="55" spans="1:12">
      <c r="A55" t="str">
        <f t="shared" si="0"/>
        <v>P.R. China-gov</v>
      </c>
      <c r="B55" t="s">
        <v>21</v>
      </c>
      <c r="C55" t="s">
        <v>257</v>
      </c>
      <c r="D55" t="s">
        <v>314</v>
      </c>
      <c r="E55" t="str">
        <f t="shared" si="1"/>
        <v>US</v>
      </c>
      <c r="F55" t="s">
        <v>326</v>
      </c>
      <c r="G55" t="s">
        <v>125</v>
      </c>
      <c r="H55" s="4"/>
      <c r="I55" s="4"/>
      <c r="J55" s="4"/>
      <c r="K55" s="4"/>
      <c r="L55" s="4"/>
    </row>
    <row r="56" spans="1:12">
      <c r="A56" t="str">
        <f t="shared" si="0"/>
        <v>P.R. China-gov</v>
      </c>
      <c r="B56" t="s">
        <v>21</v>
      </c>
      <c r="C56" t="s">
        <v>257</v>
      </c>
      <c r="D56" t="s">
        <v>314</v>
      </c>
      <c r="E56" t="str">
        <f t="shared" si="1"/>
        <v>US</v>
      </c>
      <c r="F56" t="s">
        <v>327</v>
      </c>
      <c r="G56" t="s">
        <v>125</v>
      </c>
      <c r="H56" s="4"/>
      <c r="I56" s="4"/>
      <c r="J56" s="4"/>
      <c r="K56" s="4"/>
      <c r="L56" s="4"/>
    </row>
    <row r="57" spans="1:12">
      <c r="A57" t="str">
        <f t="shared" si="0"/>
        <v>P.R. China-gov</v>
      </c>
      <c r="B57" t="s">
        <v>21</v>
      </c>
      <c r="C57" t="s">
        <v>257</v>
      </c>
      <c r="D57" t="s">
        <v>314</v>
      </c>
      <c r="E57" t="str">
        <f t="shared" si="1"/>
        <v>US</v>
      </c>
      <c r="F57" t="s">
        <v>328</v>
      </c>
      <c r="G57" t="s">
        <v>100</v>
      </c>
      <c r="H57" s="4"/>
      <c r="I57" s="4"/>
      <c r="J57" s="4"/>
      <c r="K57" s="4"/>
      <c r="L57" s="4"/>
    </row>
    <row r="58" spans="1:12">
      <c r="A58" t="str">
        <f t="shared" si="0"/>
        <v>P.R. China-gov</v>
      </c>
      <c r="B58" t="s">
        <v>21</v>
      </c>
      <c r="C58" t="s">
        <v>257</v>
      </c>
      <c r="D58" t="s">
        <v>314</v>
      </c>
      <c r="E58" t="str">
        <f t="shared" si="1"/>
        <v>US</v>
      </c>
      <c r="F58" t="s">
        <v>291</v>
      </c>
      <c r="G58" t="s">
        <v>123</v>
      </c>
      <c r="H58" s="4"/>
      <c r="I58" s="4"/>
      <c r="J58" s="4"/>
      <c r="K58" s="4"/>
      <c r="L58" s="4"/>
    </row>
    <row r="59" spans="1:12">
      <c r="A59" t="str">
        <f t="shared" si="0"/>
        <v>P.R. China-gov</v>
      </c>
      <c r="B59" t="s">
        <v>21</v>
      </c>
      <c r="C59" t="s">
        <v>257</v>
      </c>
      <c r="D59" t="s">
        <v>314</v>
      </c>
      <c r="E59" t="str">
        <f t="shared" si="1"/>
        <v>US</v>
      </c>
      <c r="F59" t="s">
        <v>288</v>
      </c>
      <c r="G59" t="s">
        <v>126</v>
      </c>
      <c r="H59" s="4"/>
      <c r="I59" s="4"/>
      <c r="J59" s="4"/>
      <c r="K59" s="4"/>
      <c r="L59" s="4"/>
    </row>
    <row r="60" spans="1:12">
      <c r="A60" t="str">
        <f t="shared" si="0"/>
        <v>P.R. China-gov</v>
      </c>
      <c r="B60" t="s">
        <v>21</v>
      </c>
      <c r="C60" t="s">
        <v>257</v>
      </c>
      <c r="D60" t="s">
        <v>329</v>
      </c>
      <c r="E60" t="str">
        <f t="shared" si="1"/>
        <v>US</v>
      </c>
      <c r="F60" t="s">
        <v>275</v>
      </c>
      <c r="G60" t="s">
        <v>128</v>
      </c>
      <c r="H60" s="4"/>
      <c r="I60" s="4"/>
      <c r="J60" s="4"/>
      <c r="K60" s="4"/>
      <c r="L60" s="4"/>
    </row>
    <row r="61" spans="1:12">
      <c r="A61" t="str">
        <f t="shared" si="0"/>
        <v>P.R. China-gov</v>
      </c>
      <c r="B61" t="s">
        <v>21</v>
      </c>
      <c r="C61" t="s">
        <v>257</v>
      </c>
      <c r="D61" t="s">
        <v>329</v>
      </c>
      <c r="E61" t="str">
        <f t="shared" si="1"/>
        <v>US</v>
      </c>
      <c r="F61" t="s">
        <v>298</v>
      </c>
      <c r="G61" t="s">
        <v>121</v>
      </c>
      <c r="H61" s="4"/>
      <c r="I61" s="4"/>
      <c r="J61" s="4"/>
      <c r="K61" s="4"/>
      <c r="L61" s="4"/>
    </row>
    <row r="62" spans="1:12">
      <c r="A62" t="str">
        <f t="shared" si="0"/>
        <v>P.R. China-gov</v>
      </c>
      <c r="B62" t="s">
        <v>21</v>
      </c>
      <c r="C62" t="s">
        <v>257</v>
      </c>
      <c r="D62" t="s">
        <v>329</v>
      </c>
      <c r="E62" t="str">
        <f t="shared" si="1"/>
        <v>US</v>
      </c>
      <c r="F62" t="s">
        <v>303</v>
      </c>
      <c r="G62" t="s">
        <v>125</v>
      </c>
      <c r="H62" s="4"/>
      <c r="I62" s="4"/>
      <c r="J62" s="4"/>
      <c r="K62" s="4"/>
      <c r="L62" s="4"/>
    </row>
    <row r="63" spans="1:12">
      <c r="A63" t="str">
        <f t="shared" si="0"/>
        <v>P.R. China-gov</v>
      </c>
      <c r="B63" t="s">
        <v>21</v>
      </c>
      <c r="C63" t="s">
        <v>257</v>
      </c>
      <c r="D63" t="s">
        <v>329</v>
      </c>
      <c r="E63" t="str">
        <f t="shared" si="1"/>
        <v>US</v>
      </c>
      <c r="F63" t="s">
        <v>316</v>
      </c>
      <c r="G63" t="s">
        <v>100</v>
      </c>
      <c r="H63" s="4"/>
      <c r="I63" s="4"/>
      <c r="J63" s="4"/>
      <c r="K63" s="4"/>
      <c r="L63" s="4"/>
    </row>
    <row r="64" spans="1:12">
      <c r="A64" t="str">
        <f t="shared" si="0"/>
        <v>P.R. China-gov</v>
      </c>
      <c r="B64" t="s">
        <v>21</v>
      </c>
      <c r="C64" t="s">
        <v>257</v>
      </c>
      <c r="D64" t="s">
        <v>329</v>
      </c>
      <c r="E64" t="str">
        <f t="shared" si="1"/>
        <v>US</v>
      </c>
      <c r="F64" t="s">
        <v>278</v>
      </c>
      <c r="G64" t="s">
        <v>80</v>
      </c>
      <c r="H64" s="4"/>
      <c r="I64" s="4"/>
      <c r="J64" s="4"/>
      <c r="K64" s="4"/>
      <c r="L64" s="4"/>
    </row>
    <row r="65" spans="1:12">
      <c r="A65" t="str">
        <f t="shared" si="0"/>
        <v>P.R. China-gov</v>
      </c>
      <c r="B65" t="s">
        <v>21</v>
      </c>
      <c r="C65" t="s">
        <v>257</v>
      </c>
      <c r="D65" t="s">
        <v>329</v>
      </c>
      <c r="E65" t="str">
        <f t="shared" si="1"/>
        <v>US</v>
      </c>
      <c r="F65" t="s">
        <v>330</v>
      </c>
      <c r="G65" t="s">
        <v>108</v>
      </c>
      <c r="H65" s="4"/>
      <c r="I65" s="4"/>
      <c r="J65" s="4"/>
      <c r="K65" s="4"/>
      <c r="L65" s="4"/>
    </row>
    <row r="66" spans="1:12">
      <c r="A66" t="str">
        <f t="shared" si="0"/>
        <v>P.R. China-gov</v>
      </c>
      <c r="B66" t="s">
        <v>21</v>
      </c>
      <c r="C66" t="s">
        <v>257</v>
      </c>
      <c r="D66" t="s">
        <v>329</v>
      </c>
      <c r="E66" t="str">
        <f t="shared" si="1"/>
        <v>US</v>
      </c>
      <c r="F66" t="s">
        <v>331</v>
      </c>
      <c r="G66" t="s">
        <v>216</v>
      </c>
      <c r="H66" s="4"/>
      <c r="I66" s="4"/>
      <c r="J66" s="4"/>
      <c r="K66" s="4"/>
      <c r="L66" s="4"/>
    </row>
    <row r="67" spans="1:12">
      <c r="A67" t="str">
        <f t="shared" ref="A67:A124" si="2">C67&amp;"-"&amp;B67</f>
        <v>P.R. China-gov</v>
      </c>
      <c r="B67" t="s">
        <v>21</v>
      </c>
      <c r="C67" t="s">
        <v>257</v>
      </c>
      <c r="D67" t="s">
        <v>329</v>
      </c>
      <c r="E67" t="str">
        <f t="shared" ref="E67:E92" si="3">IF(OR(D67="Doubao Seed 2.0 Pro",D67="DeepSeek Reasoner V3.2"),"China","US")</f>
        <v>US</v>
      </c>
      <c r="F67" t="s">
        <v>332</v>
      </c>
      <c r="G67" t="s">
        <v>201</v>
      </c>
      <c r="H67" s="4"/>
      <c r="I67" s="4"/>
      <c r="J67" s="4"/>
      <c r="K67" s="4"/>
      <c r="L67" s="4"/>
    </row>
    <row r="68" spans="1:12">
      <c r="A68" t="str">
        <f t="shared" si="2"/>
        <v>P.R. China-gov</v>
      </c>
      <c r="B68" t="s">
        <v>21</v>
      </c>
      <c r="C68" t="s">
        <v>257</v>
      </c>
      <c r="D68" t="s">
        <v>329</v>
      </c>
      <c r="E68" t="str">
        <f t="shared" si="3"/>
        <v>US</v>
      </c>
      <c r="F68" t="s">
        <v>301</v>
      </c>
      <c r="G68" t="s">
        <v>108</v>
      </c>
      <c r="H68" s="4"/>
      <c r="I68" s="4"/>
      <c r="J68" s="4"/>
      <c r="K68" s="4"/>
      <c r="L68" s="4"/>
    </row>
    <row r="69" spans="1:12">
      <c r="A69" t="str">
        <f t="shared" si="2"/>
        <v>P.R. China-gov</v>
      </c>
      <c r="B69" t="s">
        <v>21</v>
      </c>
      <c r="C69" t="s">
        <v>257</v>
      </c>
      <c r="D69" t="s">
        <v>329</v>
      </c>
      <c r="E69" t="str">
        <f t="shared" si="3"/>
        <v>US</v>
      </c>
      <c r="F69" t="s">
        <v>285</v>
      </c>
      <c r="G69" t="s">
        <v>207</v>
      </c>
      <c r="H69" s="4"/>
      <c r="I69" s="4"/>
      <c r="J69" s="4"/>
      <c r="K69" s="4"/>
      <c r="L69" s="4"/>
    </row>
    <row r="70" spans="1:12">
      <c r="A70" t="str">
        <f t="shared" si="2"/>
        <v>P.R. China-gov</v>
      </c>
      <c r="B70" t="s">
        <v>21</v>
      </c>
      <c r="C70" t="s">
        <v>257</v>
      </c>
      <c r="D70" t="s">
        <v>329</v>
      </c>
      <c r="E70" t="str">
        <f t="shared" si="3"/>
        <v>US</v>
      </c>
      <c r="F70" t="s">
        <v>328</v>
      </c>
      <c r="G70" t="s">
        <v>100</v>
      </c>
      <c r="H70" s="4"/>
      <c r="I70" s="4"/>
      <c r="J70" s="4"/>
      <c r="K70" s="4"/>
      <c r="L70" s="4"/>
    </row>
    <row r="71" spans="1:12">
      <c r="A71" t="str">
        <f t="shared" si="2"/>
        <v>P.R. China-gov</v>
      </c>
      <c r="B71" t="s">
        <v>21</v>
      </c>
      <c r="C71" t="s">
        <v>257</v>
      </c>
      <c r="D71" t="s">
        <v>329</v>
      </c>
      <c r="E71" t="str">
        <f t="shared" si="3"/>
        <v>US</v>
      </c>
      <c r="F71" t="s">
        <v>291</v>
      </c>
      <c r="G71" t="s">
        <v>123</v>
      </c>
      <c r="H71" s="4"/>
      <c r="I71" s="4"/>
      <c r="J71" s="4"/>
      <c r="K71" s="4"/>
      <c r="L71" s="4"/>
    </row>
    <row r="72" spans="1:12">
      <c r="A72" t="str">
        <f t="shared" si="2"/>
        <v>P.R. China-gov</v>
      </c>
      <c r="B72" t="s">
        <v>21</v>
      </c>
      <c r="C72" t="s">
        <v>257</v>
      </c>
      <c r="D72" t="s">
        <v>329</v>
      </c>
      <c r="E72" t="str">
        <f t="shared" si="3"/>
        <v>US</v>
      </c>
      <c r="F72" t="s">
        <v>333</v>
      </c>
      <c r="G72" t="s">
        <v>215</v>
      </c>
      <c r="H72" s="4"/>
      <c r="I72" s="4"/>
      <c r="J72" s="4"/>
      <c r="K72" s="4"/>
      <c r="L72" s="4"/>
    </row>
    <row r="73" spans="1:12">
      <c r="A73" t="str">
        <f t="shared" si="2"/>
        <v>P.R. China-gov</v>
      </c>
      <c r="B73" t="s">
        <v>21</v>
      </c>
      <c r="C73" t="s">
        <v>257</v>
      </c>
      <c r="D73" t="s">
        <v>329</v>
      </c>
      <c r="E73" t="str">
        <f t="shared" si="3"/>
        <v>US</v>
      </c>
      <c r="F73" t="s">
        <v>304</v>
      </c>
      <c r="G73" t="s">
        <v>93</v>
      </c>
      <c r="H73" s="4"/>
      <c r="I73" s="4"/>
      <c r="J73" s="4"/>
      <c r="K73" s="4"/>
      <c r="L73" s="4"/>
    </row>
    <row r="74" spans="1:12">
      <c r="A74" t="str">
        <f t="shared" si="2"/>
        <v>P.R. China-gov</v>
      </c>
      <c r="B74" t="s">
        <v>21</v>
      </c>
      <c r="C74" t="s">
        <v>257</v>
      </c>
      <c r="D74" t="s">
        <v>329</v>
      </c>
      <c r="E74" t="str">
        <f t="shared" si="3"/>
        <v>US</v>
      </c>
      <c r="F74" t="s">
        <v>334</v>
      </c>
      <c r="G74" t="s">
        <v>104</v>
      </c>
      <c r="H74" s="4"/>
      <c r="I74" s="4"/>
      <c r="J74" s="4"/>
      <c r="K74" s="4"/>
      <c r="L74" s="4"/>
    </row>
    <row r="75" spans="1:12">
      <c r="A75" t="str">
        <f t="shared" si="2"/>
        <v>P.R. China-gov</v>
      </c>
      <c r="B75" t="s">
        <v>21</v>
      </c>
      <c r="C75" t="s">
        <v>257</v>
      </c>
      <c r="D75" t="s">
        <v>329</v>
      </c>
      <c r="E75" t="str">
        <f t="shared" si="3"/>
        <v>US</v>
      </c>
      <c r="F75" t="s">
        <v>335</v>
      </c>
      <c r="G75" t="s">
        <v>58</v>
      </c>
      <c r="H75" s="4"/>
      <c r="I75" s="4"/>
      <c r="J75" s="4"/>
      <c r="K75" s="4"/>
      <c r="L75" s="4"/>
    </row>
    <row r="76" spans="1:12">
      <c r="A76" t="str">
        <f t="shared" si="2"/>
        <v>P.R. China-gov</v>
      </c>
      <c r="B76" t="s">
        <v>21</v>
      </c>
      <c r="C76" t="s">
        <v>257</v>
      </c>
      <c r="D76" t="s">
        <v>329</v>
      </c>
      <c r="E76" t="str">
        <f t="shared" si="3"/>
        <v>US</v>
      </c>
      <c r="F76" t="s">
        <v>325</v>
      </c>
      <c r="G76" t="s">
        <v>122</v>
      </c>
      <c r="H76" s="4"/>
      <c r="I76" s="4"/>
      <c r="J76" s="4"/>
      <c r="K76" s="4"/>
      <c r="L76" s="4"/>
    </row>
    <row r="77" spans="1:12">
      <c r="A77" t="str">
        <f t="shared" si="2"/>
        <v>P.R. China-gov</v>
      </c>
      <c r="B77" t="s">
        <v>21</v>
      </c>
      <c r="C77" t="s">
        <v>257</v>
      </c>
      <c r="D77" t="s">
        <v>329</v>
      </c>
      <c r="E77" t="str">
        <f t="shared" si="3"/>
        <v>US</v>
      </c>
      <c r="F77" t="s">
        <v>307</v>
      </c>
      <c r="G77" t="s">
        <v>126</v>
      </c>
      <c r="H77" s="4"/>
      <c r="I77" s="4"/>
      <c r="J77" s="4"/>
      <c r="K77" s="4"/>
      <c r="L77" s="4"/>
    </row>
    <row r="78" spans="1:12">
      <c r="A78" t="str">
        <f t="shared" si="2"/>
        <v>P.R. China-gov</v>
      </c>
      <c r="B78" t="s">
        <v>21</v>
      </c>
      <c r="C78" t="s">
        <v>257</v>
      </c>
      <c r="D78" t="s">
        <v>329</v>
      </c>
      <c r="E78" t="str">
        <f t="shared" si="3"/>
        <v>US</v>
      </c>
      <c r="F78" t="s">
        <v>288</v>
      </c>
      <c r="G78" t="s">
        <v>126</v>
      </c>
      <c r="H78" s="4"/>
      <c r="I78" s="4"/>
      <c r="J78" s="4"/>
      <c r="K78" s="4"/>
      <c r="L78" s="4"/>
    </row>
    <row r="79" spans="1:12">
      <c r="A79" t="str">
        <f t="shared" si="2"/>
        <v>P.R. China-gov</v>
      </c>
      <c r="B79" t="s">
        <v>21</v>
      </c>
      <c r="C79" t="s">
        <v>257</v>
      </c>
      <c r="D79" t="s">
        <v>329</v>
      </c>
      <c r="E79" t="str">
        <f t="shared" si="3"/>
        <v>US</v>
      </c>
      <c r="F79" t="s">
        <v>290</v>
      </c>
      <c r="G79" t="s">
        <v>85</v>
      </c>
      <c r="H79" s="4"/>
      <c r="I79" s="4"/>
      <c r="J79" s="4"/>
      <c r="K79" s="4"/>
      <c r="L79" s="4"/>
    </row>
    <row r="80" spans="1:12">
      <c r="A80" t="str">
        <f t="shared" si="2"/>
        <v>P.R. China-gov</v>
      </c>
      <c r="B80" t="s">
        <v>21</v>
      </c>
      <c r="C80" t="s">
        <v>257</v>
      </c>
      <c r="D80" t="s">
        <v>329</v>
      </c>
      <c r="E80" t="str">
        <f t="shared" si="3"/>
        <v>US</v>
      </c>
      <c r="F80" t="s">
        <v>336</v>
      </c>
      <c r="G80" t="s">
        <v>85</v>
      </c>
      <c r="H80" s="4"/>
      <c r="I80" s="4"/>
      <c r="J80" s="4"/>
      <c r="K80" s="4"/>
      <c r="L80" s="4"/>
    </row>
    <row r="81" spans="1:12">
      <c r="A81" t="str">
        <f t="shared" si="2"/>
        <v>P.R. China-gov</v>
      </c>
      <c r="B81" t="s">
        <v>21</v>
      </c>
      <c r="C81" t="s">
        <v>257</v>
      </c>
      <c r="D81" t="s">
        <v>329</v>
      </c>
      <c r="E81" t="str">
        <f t="shared" si="3"/>
        <v>US</v>
      </c>
      <c r="F81" t="s">
        <v>337</v>
      </c>
      <c r="G81" t="s">
        <v>211</v>
      </c>
      <c r="H81" s="4"/>
      <c r="I81" s="4"/>
      <c r="J81" s="4"/>
      <c r="K81" s="4"/>
      <c r="L81" s="4"/>
    </row>
    <row r="82" spans="1:12">
      <c r="A82" t="str">
        <f t="shared" si="2"/>
        <v>P.R. China-gov</v>
      </c>
      <c r="B82" t="s">
        <v>21</v>
      </c>
      <c r="C82" t="s">
        <v>257</v>
      </c>
      <c r="D82" t="s">
        <v>329</v>
      </c>
      <c r="E82" t="str">
        <f t="shared" si="3"/>
        <v>US</v>
      </c>
      <c r="F82" t="s">
        <v>338</v>
      </c>
      <c r="G82" t="s">
        <v>117</v>
      </c>
      <c r="H82" s="4"/>
      <c r="I82" s="4"/>
      <c r="J82" s="4"/>
      <c r="K82" s="4"/>
      <c r="L82" s="4"/>
    </row>
    <row r="83" spans="1:12">
      <c r="A83" t="str">
        <f t="shared" si="2"/>
        <v>P.R. China-gov</v>
      </c>
      <c r="B83" t="s">
        <v>21</v>
      </c>
      <c r="C83" t="s">
        <v>257</v>
      </c>
      <c r="D83" t="s">
        <v>329</v>
      </c>
      <c r="E83" t="str">
        <f t="shared" si="3"/>
        <v>US</v>
      </c>
      <c r="F83" t="s">
        <v>339</v>
      </c>
      <c r="G83" t="s">
        <v>121</v>
      </c>
      <c r="H83" s="4"/>
      <c r="I83" s="4"/>
      <c r="J83" s="4"/>
      <c r="K83" s="4"/>
      <c r="L83" s="4"/>
    </row>
    <row r="84" spans="1:12">
      <c r="A84" t="str">
        <f t="shared" si="2"/>
        <v>P.R. China-gov</v>
      </c>
      <c r="B84" t="s">
        <v>21</v>
      </c>
      <c r="C84" t="s">
        <v>257</v>
      </c>
      <c r="D84" t="s">
        <v>329</v>
      </c>
      <c r="E84" t="str">
        <f t="shared" si="3"/>
        <v>US</v>
      </c>
      <c r="F84" t="s">
        <v>340</v>
      </c>
      <c r="G84" t="s">
        <v>125</v>
      </c>
      <c r="H84" s="4"/>
      <c r="I84" s="4"/>
      <c r="J84" s="4"/>
      <c r="K84" s="4"/>
      <c r="L84" s="4"/>
    </row>
    <row r="85" spans="1:12">
      <c r="A85" t="str">
        <f t="shared" si="2"/>
        <v>P.R. China-gov</v>
      </c>
      <c r="B85" t="s">
        <v>21</v>
      </c>
      <c r="C85" t="s">
        <v>257</v>
      </c>
      <c r="D85" t="s">
        <v>329</v>
      </c>
      <c r="E85" t="str">
        <f t="shared" si="3"/>
        <v>US</v>
      </c>
      <c r="F85" t="s">
        <v>130</v>
      </c>
      <c r="G85" t="s">
        <v>130</v>
      </c>
      <c r="H85" s="4"/>
      <c r="I85" s="4"/>
      <c r="J85" s="4"/>
      <c r="K85" s="4"/>
      <c r="L85" s="4"/>
    </row>
    <row r="86" spans="1:12">
      <c r="A86" t="str">
        <f t="shared" si="2"/>
        <v>P.R. China-gov</v>
      </c>
      <c r="B86" t="s">
        <v>21</v>
      </c>
      <c r="C86" t="s">
        <v>257</v>
      </c>
      <c r="D86" t="s">
        <v>329</v>
      </c>
      <c r="E86" t="str">
        <f t="shared" si="3"/>
        <v>US</v>
      </c>
      <c r="F86" t="s">
        <v>214</v>
      </c>
      <c r="G86" t="s">
        <v>214</v>
      </c>
      <c r="H86" s="4"/>
      <c r="I86" s="4"/>
      <c r="J86" s="4"/>
      <c r="K86" s="4"/>
      <c r="L86" s="4"/>
    </row>
    <row r="87" spans="1:12">
      <c r="A87" t="str">
        <f t="shared" si="2"/>
        <v>P.R. China-gov</v>
      </c>
      <c r="B87" t="s">
        <v>21</v>
      </c>
      <c r="C87" t="s">
        <v>257</v>
      </c>
      <c r="D87" t="s">
        <v>329</v>
      </c>
      <c r="E87" t="str">
        <f t="shared" si="3"/>
        <v>US</v>
      </c>
      <c r="F87" t="s">
        <v>310</v>
      </c>
      <c r="G87" t="s">
        <v>204</v>
      </c>
      <c r="H87" s="4"/>
      <c r="I87" s="4"/>
      <c r="J87" s="4"/>
      <c r="K87" s="4"/>
      <c r="L87" s="4"/>
    </row>
    <row r="88" spans="1:12">
      <c r="A88" t="str">
        <f t="shared" si="2"/>
        <v>P.R. China-gov</v>
      </c>
      <c r="B88" t="s">
        <v>21</v>
      </c>
      <c r="C88" t="s">
        <v>257</v>
      </c>
      <c r="D88" t="s">
        <v>329</v>
      </c>
      <c r="E88" t="str">
        <f t="shared" si="3"/>
        <v>US</v>
      </c>
      <c r="F88" t="s">
        <v>341</v>
      </c>
      <c r="G88" t="s">
        <v>209</v>
      </c>
      <c r="H88" s="4"/>
      <c r="I88" s="4"/>
      <c r="J88" s="4"/>
      <c r="K88" s="4"/>
      <c r="L88" s="4"/>
    </row>
    <row r="89" spans="1:12">
      <c r="A89" t="str">
        <f t="shared" si="2"/>
        <v>P.R. China-gov</v>
      </c>
      <c r="B89" t="s">
        <v>21</v>
      </c>
      <c r="C89" t="s">
        <v>257</v>
      </c>
      <c r="D89" t="s">
        <v>329</v>
      </c>
      <c r="E89" t="str">
        <f t="shared" si="3"/>
        <v>US</v>
      </c>
      <c r="F89" t="s">
        <v>342</v>
      </c>
      <c r="G89" t="s">
        <v>198</v>
      </c>
      <c r="H89" s="4"/>
      <c r="I89" s="4"/>
      <c r="J89" s="4"/>
      <c r="K89" s="4"/>
      <c r="L89" s="4"/>
    </row>
    <row r="90" spans="1:12">
      <c r="A90" t="str">
        <f t="shared" si="2"/>
        <v>P.R. China-gov</v>
      </c>
      <c r="B90" t="s">
        <v>21</v>
      </c>
      <c r="C90" t="s">
        <v>257</v>
      </c>
      <c r="D90" t="s">
        <v>329</v>
      </c>
      <c r="E90" t="str">
        <f t="shared" si="3"/>
        <v>US</v>
      </c>
      <c r="F90" t="s">
        <v>343</v>
      </c>
      <c r="G90" t="s">
        <v>198</v>
      </c>
      <c r="H90" s="4"/>
      <c r="I90" s="4"/>
      <c r="J90" s="4"/>
      <c r="K90" s="4"/>
      <c r="L90" s="4"/>
    </row>
    <row r="91" spans="1:12">
      <c r="A91" t="str">
        <f t="shared" si="2"/>
        <v>P.R. China-gov</v>
      </c>
      <c r="B91" t="s">
        <v>21</v>
      </c>
      <c r="C91" t="s">
        <v>257</v>
      </c>
      <c r="D91" t="s">
        <v>329</v>
      </c>
      <c r="E91" t="str">
        <f t="shared" si="3"/>
        <v>US</v>
      </c>
      <c r="F91" t="s">
        <v>344</v>
      </c>
      <c r="G91" t="s">
        <v>198</v>
      </c>
      <c r="H91" s="4"/>
      <c r="I91" s="4"/>
      <c r="J91" s="4"/>
      <c r="K91" s="4"/>
      <c r="L91" s="4"/>
    </row>
    <row r="92" spans="1:12">
      <c r="A92" t="str">
        <f t="shared" si="2"/>
        <v>P.R. China-gov</v>
      </c>
      <c r="B92" t="s">
        <v>21</v>
      </c>
      <c r="C92" t="s">
        <v>257</v>
      </c>
      <c r="D92" t="s">
        <v>329</v>
      </c>
      <c r="E92" t="str">
        <f t="shared" si="3"/>
        <v>US</v>
      </c>
      <c r="F92" t="s">
        <v>345</v>
      </c>
      <c r="G92" s="2" t="s">
        <v>198</v>
      </c>
      <c r="H92" s="4"/>
      <c r="I92" s="4"/>
      <c r="J92" s="4"/>
      <c r="K92" s="4"/>
      <c r="L92" s="4"/>
    </row>
    <row r="93" spans="1:12">
      <c r="A93" t="str">
        <f t="shared" si="2"/>
        <v>P.R. China-gov</v>
      </c>
      <c r="B93" t="s">
        <v>21</v>
      </c>
      <c r="C93" t="s">
        <v>257</v>
      </c>
      <c r="D93" s="4" t="s">
        <v>197</v>
      </c>
      <c r="E93" s="4"/>
      <c r="F93" s="4"/>
      <c r="G93" s="2" t="s">
        <v>121</v>
      </c>
      <c r="H93">
        <v>1</v>
      </c>
      <c r="I93" t="s">
        <v>197</v>
      </c>
      <c r="K93" t="s">
        <v>24</v>
      </c>
      <c r="L93" t="s">
        <v>55</v>
      </c>
    </row>
    <row r="94" spans="1:12">
      <c r="A94" t="str">
        <f t="shared" si="2"/>
        <v>P.R. China-gov</v>
      </c>
      <c r="B94" t="s">
        <v>21</v>
      </c>
      <c r="C94" t="s">
        <v>257</v>
      </c>
      <c r="D94" s="4"/>
      <c r="E94" s="4"/>
      <c r="F94" s="4"/>
      <c r="G94" s="2" t="s">
        <v>125</v>
      </c>
      <c r="H94">
        <v>1</v>
      </c>
      <c r="I94" t="s">
        <v>197</v>
      </c>
      <c r="K94" t="s">
        <v>24</v>
      </c>
      <c r="L94" t="s">
        <v>55</v>
      </c>
    </row>
    <row r="95" spans="1:12">
      <c r="A95" t="str">
        <f t="shared" si="2"/>
        <v>P.R. China-gov</v>
      </c>
      <c r="B95" t="s">
        <v>21</v>
      </c>
      <c r="C95" t="s">
        <v>257</v>
      </c>
      <c r="D95" s="4"/>
      <c r="E95" s="4"/>
      <c r="F95" s="4"/>
      <c r="G95" s="2" t="s">
        <v>100</v>
      </c>
      <c r="H95">
        <v>1</v>
      </c>
      <c r="I95" t="s">
        <v>197</v>
      </c>
      <c r="K95" t="s">
        <v>24</v>
      </c>
      <c r="L95" t="s">
        <v>25</v>
      </c>
    </row>
    <row r="96" spans="1:12">
      <c r="A96" t="str">
        <f t="shared" si="2"/>
        <v>P.R. China-gov</v>
      </c>
      <c r="B96" t="s">
        <v>21</v>
      </c>
      <c r="C96" t="s">
        <v>257</v>
      </c>
      <c r="D96" s="4"/>
      <c r="E96" s="4"/>
      <c r="F96" s="4"/>
      <c r="G96" s="2" t="s">
        <v>108</v>
      </c>
      <c r="H96">
        <v>1</v>
      </c>
      <c r="I96" t="s">
        <v>197</v>
      </c>
      <c r="K96" t="s">
        <v>24</v>
      </c>
      <c r="L96" t="s">
        <v>55</v>
      </c>
    </row>
    <row r="97" spans="1:12">
      <c r="A97" t="str">
        <f t="shared" si="2"/>
        <v>P.R. China-gov</v>
      </c>
      <c r="B97" t="s">
        <v>21</v>
      </c>
      <c r="C97" t="s">
        <v>257</v>
      </c>
      <c r="D97" s="4"/>
      <c r="E97" s="4"/>
      <c r="F97" s="4"/>
      <c r="G97" s="2" t="s">
        <v>126</v>
      </c>
      <c r="H97">
        <v>1</v>
      </c>
      <c r="I97" t="s">
        <v>197</v>
      </c>
      <c r="K97" t="s">
        <v>24</v>
      </c>
      <c r="L97" t="s">
        <v>25</v>
      </c>
    </row>
    <row r="98" spans="1:12">
      <c r="A98" t="str">
        <f t="shared" si="2"/>
        <v>P.R. China-gov</v>
      </c>
      <c r="B98" t="s">
        <v>21</v>
      </c>
      <c r="C98" t="s">
        <v>257</v>
      </c>
      <c r="D98" s="4"/>
      <c r="E98" s="4"/>
      <c r="F98" s="4"/>
      <c r="G98" s="2" t="s">
        <v>128</v>
      </c>
      <c r="H98">
        <v>1</v>
      </c>
      <c r="I98" t="s">
        <v>197</v>
      </c>
      <c r="K98" t="s">
        <v>24</v>
      </c>
      <c r="L98" t="s">
        <v>25</v>
      </c>
    </row>
    <row r="99" spans="1:12">
      <c r="A99" t="str">
        <f t="shared" si="2"/>
        <v>P.R. China-gov</v>
      </c>
      <c r="B99" t="s">
        <v>21</v>
      </c>
      <c r="C99" t="s">
        <v>257</v>
      </c>
      <c r="D99" s="4"/>
      <c r="E99" s="4"/>
      <c r="F99" s="4"/>
      <c r="G99" s="2" t="s">
        <v>198</v>
      </c>
      <c r="H99">
        <v>1</v>
      </c>
      <c r="I99" t="s">
        <v>197</v>
      </c>
      <c r="K99" t="s">
        <v>199</v>
      </c>
      <c r="L99" t="s">
        <v>200</v>
      </c>
    </row>
    <row r="100" spans="1:12">
      <c r="A100" t="str">
        <f t="shared" si="2"/>
        <v>P.R. China-gov</v>
      </c>
      <c r="B100" t="s">
        <v>21</v>
      </c>
      <c r="C100" t="s">
        <v>257</v>
      </c>
      <c r="D100" s="4"/>
      <c r="E100" s="4"/>
      <c r="F100" s="4"/>
      <c r="G100" s="2" t="s">
        <v>93</v>
      </c>
      <c r="H100">
        <v>1</v>
      </c>
      <c r="I100" t="s">
        <v>197</v>
      </c>
      <c r="K100" t="s">
        <v>24</v>
      </c>
      <c r="L100" t="s">
        <v>25</v>
      </c>
    </row>
    <row r="101" spans="1:12">
      <c r="A101" t="str">
        <f t="shared" si="2"/>
        <v>P.R. China-gov</v>
      </c>
      <c r="B101" t="s">
        <v>21</v>
      </c>
      <c r="C101" t="s">
        <v>257</v>
      </c>
      <c r="D101" s="4"/>
      <c r="E101" s="4"/>
      <c r="F101" s="4"/>
      <c r="G101" s="2" t="s">
        <v>201</v>
      </c>
      <c r="H101">
        <v>2</v>
      </c>
      <c r="I101" t="s">
        <v>59</v>
      </c>
      <c r="J101" t="s">
        <v>202</v>
      </c>
      <c r="K101" t="s">
        <v>199</v>
      </c>
      <c r="L101" t="s">
        <v>203</v>
      </c>
    </row>
    <row r="102" spans="1:12">
      <c r="A102" t="str">
        <f t="shared" si="2"/>
        <v>P.R. China-gov</v>
      </c>
      <c r="B102" t="s">
        <v>21</v>
      </c>
      <c r="C102" t="s">
        <v>257</v>
      </c>
      <c r="D102" s="4"/>
      <c r="E102" s="4"/>
      <c r="F102" s="4"/>
      <c r="G102" s="2" t="s">
        <v>85</v>
      </c>
      <c r="H102">
        <v>2</v>
      </c>
      <c r="I102">
        <v>40031</v>
      </c>
      <c r="J102" t="s">
        <v>32</v>
      </c>
      <c r="K102" t="s">
        <v>199</v>
      </c>
      <c r="L102" t="s">
        <v>203</v>
      </c>
    </row>
    <row r="103" spans="1:12">
      <c r="A103" t="str">
        <f t="shared" si="2"/>
        <v>P.R. China-gov</v>
      </c>
      <c r="B103" t="s">
        <v>21</v>
      </c>
      <c r="C103" t="s">
        <v>257</v>
      </c>
      <c r="D103" s="4"/>
      <c r="E103" s="4"/>
      <c r="F103" s="4"/>
      <c r="G103" s="2" t="s">
        <v>104</v>
      </c>
      <c r="H103">
        <v>1</v>
      </c>
      <c r="I103" t="s">
        <v>197</v>
      </c>
      <c r="J103" t="s">
        <v>197</v>
      </c>
      <c r="K103" t="s">
        <v>24</v>
      </c>
      <c r="L103" t="s">
        <v>55</v>
      </c>
    </row>
    <row r="104" spans="1:12">
      <c r="A104" t="str">
        <f t="shared" si="2"/>
        <v>P.R. China-gov</v>
      </c>
      <c r="B104" t="s">
        <v>21</v>
      </c>
      <c r="C104" t="s">
        <v>257</v>
      </c>
      <c r="D104" s="4"/>
      <c r="E104" s="4"/>
      <c r="F104" s="4"/>
      <c r="G104" s="2" t="s">
        <v>204</v>
      </c>
      <c r="H104">
        <v>2</v>
      </c>
      <c r="I104">
        <v>58919</v>
      </c>
      <c r="J104" t="s">
        <v>32</v>
      </c>
      <c r="K104" t="s">
        <v>199</v>
      </c>
      <c r="L104" t="s">
        <v>203</v>
      </c>
    </row>
    <row r="105" spans="1:12">
      <c r="A105" t="str">
        <f t="shared" si="2"/>
        <v>P.R. China-gov</v>
      </c>
      <c r="B105" t="s">
        <v>21</v>
      </c>
      <c r="C105" t="s">
        <v>257</v>
      </c>
      <c r="D105" s="4"/>
      <c r="E105" s="4"/>
      <c r="F105" s="4"/>
      <c r="G105" s="2" t="s">
        <v>122</v>
      </c>
      <c r="H105">
        <v>1</v>
      </c>
      <c r="I105" t="s">
        <v>197</v>
      </c>
      <c r="K105" t="s">
        <v>24</v>
      </c>
      <c r="L105" t="s">
        <v>55</v>
      </c>
    </row>
    <row r="106" spans="1:12">
      <c r="A106" t="str">
        <f t="shared" si="2"/>
        <v>P.R. China-gov</v>
      </c>
      <c r="B106" t="s">
        <v>21</v>
      </c>
      <c r="C106" t="s">
        <v>257</v>
      </c>
      <c r="D106" s="4"/>
      <c r="E106" s="4"/>
      <c r="F106" s="4"/>
      <c r="G106" s="2" t="s">
        <v>123</v>
      </c>
      <c r="H106">
        <v>1</v>
      </c>
      <c r="I106" t="s">
        <v>197</v>
      </c>
      <c r="K106" t="s">
        <v>24</v>
      </c>
      <c r="L106" t="s">
        <v>55</v>
      </c>
    </row>
    <row r="107" spans="1:12">
      <c r="A107" t="str">
        <f t="shared" si="2"/>
        <v>P.R. China-gov</v>
      </c>
      <c r="B107" t="s">
        <v>21</v>
      </c>
      <c r="C107" t="s">
        <v>257</v>
      </c>
      <c r="D107" s="4"/>
      <c r="E107" s="4"/>
      <c r="F107" s="4"/>
      <c r="G107" s="2" t="s">
        <v>124</v>
      </c>
      <c r="H107">
        <v>2</v>
      </c>
      <c r="I107" t="s">
        <v>59</v>
      </c>
      <c r="J107" t="s">
        <v>32</v>
      </c>
      <c r="K107" t="s">
        <v>199</v>
      </c>
      <c r="L107" t="s">
        <v>203</v>
      </c>
    </row>
    <row r="108" spans="1:12">
      <c r="A108" t="str">
        <f t="shared" si="2"/>
        <v>P.R. China-gov</v>
      </c>
      <c r="B108" t="s">
        <v>21</v>
      </c>
      <c r="C108" t="s">
        <v>257</v>
      </c>
      <c r="D108" s="4"/>
      <c r="E108" s="4"/>
      <c r="F108" s="4"/>
      <c r="G108" s="2" t="s">
        <v>130</v>
      </c>
      <c r="H108">
        <v>1</v>
      </c>
      <c r="I108" t="s">
        <v>197</v>
      </c>
      <c r="K108" t="s">
        <v>24</v>
      </c>
      <c r="L108" t="s">
        <v>55</v>
      </c>
    </row>
    <row r="109" spans="1:12">
      <c r="A109" t="str">
        <f t="shared" si="2"/>
        <v>P.R. China-gov</v>
      </c>
      <c r="B109" t="s">
        <v>21</v>
      </c>
      <c r="C109" t="s">
        <v>257</v>
      </c>
      <c r="D109" s="4"/>
      <c r="E109" s="4"/>
      <c r="F109" s="4"/>
      <c r="G109" s="2" t="s">
        <v>58</v>
      </c>
      <c r="H109">
        <v>2</v>
      </c>
      <c r="I109" t="s">
        <v>59</v>
      </c>
      <c r="J109" t="s">
        <v>32</v>
      </c>
      <c r="K109" t="s">
        <v>24</v>
      </c>
      <c r="L109" t="s">
        <v>205</v>
      </c>
    </row>
    <row r="110" spans="1:12">
      <c r="A110" t="str">
        <f t="shared" si="2"/>
        <v>P.R. China-gov</v>
      </c>
      <c r="B110" t="s">
        <v>21</v>
      </c>
      <c r="C110" t="s">
        <v>257</v>
      </c>
      <c r="D110" s="4"/>
      <c r="E110" s="4"/>
      <c r="F110" s="4"/>
      <c r="G110" s="2" t="s">
        <v>80</v>
      </c>
      <c r="H110">
        <v>2</v>
      </c>
      <c r="I110">
        <v>96244</v>
      </c>
      <c r="J110" t="s">
        <v>48</v>
      </c>
      <c r="K110" t="s">
        <v>199</v>
      </c>
      <c r="L110" t="s">
        <v>203</v>
      </c>
    </row>
    <row r="111" spans="1:12">
      <c r="A111" t="str">
        <f t="shared" si="2"/>
        <v>P.R. China-gov</v>
      </c>
      <c r="B111" t="s">
        <v>21</v>
      </c>
      <c r="C111" t="s">
        <v>257</v>
      </c>
      <c r="D111" s="4"/>
      <c r="E111" s="4"/>
      <c r="F111" s="4"/>
      <c r="G111" s="2" t="s">
        <v>206</v>
      </c>
      <c r="H111">
        <v>1</v>
      </c>
      <c r="K111" t="s">
        <v>199</v>
      </c>
      <c r="L111" t="s">
        <v>200</v>
      </c>
    </row>
    <row r="112" spans="1:12">
      <c r="A112" t="str">
        <f t="shared" si="2"/>
        <v>P.R. China-gov</v>
      </c>
      <c r="B112" t="s">
        <v>21</v>
      </c>
      <c r="C112" t="s">
        <v>257</v>
      </c>
      <c r="D112" s="4"/>
      <c r="E112" s="4"/>
      <c r="F112" s="4"/>
      <c r="G112" s="2" t="s">
        <v>207</v>
      </c>
      <c r="H112">
        <v>2</v>
      </c>
      <c r="I112">
        <v>47476</v>
      </c>
      <c r="J112" t="s">
        <v>48</v>
      </c>
      <c r="K112" t="s">
        <v>199</v>
      </c>
      <c r="L112" t="s">
        <v>203</v>
      </c>
    </row>
    <row r="113" spans="1:12">
      <c r="A113" t="str">
        <f t="shared" si="2"/>
        <v>P.R. China-gov</v>
      </c>
      <c r="B113" t="s">
        <v>21</v>
      </c>
      <c r="C113" t="s">
        <v>257</v>
      </c>
      <c r="D113" s="4"/>
      <c r="E113" s="4"/>
      <c r="F113" s="4"/>
      <c r="G113" s="2" t="s">
        <v>208</v>
      </c>
      <c r="H113">
        <v>2</v>
      </c>
      <c r="I113" t="s">
        <v>59</v>
      </c>
      <c r="J113" t="s">
        <v>202</v>
      </c>
      <c r="K113" t="s">
        <v>199</v>
      </c>
      <c r="L113" t="s">
        <v>203</v>
      </c>
    </row>
    <row r="114" spans="1:12">
      <c r="A114" t="str">
        <f t="shared" si="2"/>
        <v>P.R. China-gov</v>
      </c>
      <c r="B114" t="s">
        <v>21</v>
      </c>
      <c r="C114" t="s">
        <v>257</v>
      </c>
      <c r="D114" s="4"/>
      <c r="E114" s="4"/>
      <c r="F114" s="4"/>
      <c r="G114" s="2" t="s">
        <v>209</v>
      </c>
      <c r="H114">
        <v>1</v>
      </c>
      <c r="K114" t="s">
        <v>199</v>
      </c>
      <c r="L114" t="s">
        <v>200</v>
      </c>
    </row>
    <row r="115" spans="1:12">
      <c r="A115" t="str">
        <f t="shared" si="2"/>
        <v>P.R. China-gov</v>
      </c>
      <c r="B115" t="s">
        <v>21</v>
      </c>
      <c r="C115" t="s">
        <v>257</v>
      </c>
      <c r="D115" s="4"/>
      <c r="E115" s="4"/>
      <c r="F115" s="4"/>
      <c r="G115" s="2" t="s">
        <v>210</v>
      </c>
      <c r="H115">
        <v>1</v>
      </c>
      <c r="K115" t="s">
        <v>199</v>
      </c>
      <c r="L115" t="s">
        <v>200</v>
      </c>
    </row>
    <row r="116" spans="1:12">
      <c r="A116" t="str">
        <f t="shared" si="2"/>
        <v>P.R. China-gov</v>
      </c>
      <c r="B116" t="s">
        <v>21</v>
      </c>
      <c r="C116" t="s">
        <v>257</v>
      </c>
      <c r="D116" s="4"/>
      <c r="E116" s="4"/>
      <c r="F116" s="4"/>
      <c r="G116" s="2" t="s">
        <v>211</v>
      </c>
      <c r="H116">
        <v>1</v>
      </c>
      <c r="K116" t="s">
        <v>199</v>
      </c>
      <c r="L116" t="s">
        <v>200</v>
      </c>
    </row>
    <row r="117" spans="1:12">
      <c r="A117" t="str">
        <f t="shared" si="2"/>
        <v>P.R. China-gov</v>
      </c>
      <c r="B117" t="s">
        <v>21</v>
      </c>
      <c r="C117" t="s">
        <v>257</v>
      </c>
      <c r="D117" s="4"/>
      <c r="E117" s="4"/>
      <c r="F117" s="4"/>
      <c r="G117" s="2" t="s">
        <v>107</v>
      </c>
      <c r="H117">
        <v>1</v>
      </c>
      <c r="K117" t="s">
        <v>199</v>
      </c>
      <c r="L117" t="s">
        <v>200</v>
      </c>
    </row>
    <row r="118" spans="1:12">
      <c r="A118" t="str">
        <f t="shared" si="2"/>
        <v>P.R. China-gov</v>
      </c>
      <c r="B118" t="s">
        <v>21</v>
      </c>
      <c r="C118" t="s">
        <v>257</v>
      </c>
      <c r="D118" s="4"/>
      <c r="E118" s="4"/>
      <c r="F118" s="4"/>
      <c r="G118" s="2" t="s">
        <v>117</v>
      </c>
      <c r="H118">
        <v>1</v>
      </c>
      <c r="K118" t="s">
        <v>199</v>
      </c>
      <c r="L118" t="s">
        <v>200</v>
      </c>
    </row>
    <row r="119" spans="1:12">
      <c r="A119" t="str">
        <f t="shared" si="2"/>
        <v>P.R. China-gov</v>
      </c>
      <c r="B119" t="s">
        <v>21</v>
      </c>
      <c r="C119" t="s">
        <v>257</v>
      </c>
      <c r="D119" s="4"/>
      <c r="E119" s="4"/>
      <c r="F119" s="4"/>
      <c r="G119" s="2" t="s">
        <v>118</v>
      </c>
      <c r="H119">
        <v>1</v>
      </c>
      <c r="K119" t="s">
        <v>199</v>
      </c>
      <c r="L119" t="s">
        <v>200</v>
      </c>
    </row>
    <row r="120" spans="1:12">
      <c r="A120" t="str">
        <f t="shared" si="2"/>
        <v>P.R. China-gov</v>
      </c>
      <c r="B120" t="s">
        <v>21</v>
      </c>
      <c r="C120" t="s">
        <v>257</v>
      </c>
      <c r="D120" s="4"/>
      <c r="E120" s="4"/>
      <c r="F120" s="4"/>
      <c r="G120" s="2" t="s">
        <v>212</v>
      </c>
      <c r="H120">
        <v>1</v>
      </c>
      <c r="K120" t="s">
        <v>199</v>
      </c>
      <c r="L120" t="s">
        <v>200</v>
      </c>
    </row>
    <row r="121" spans="1:12">
      <c r="A121" t="str">
        <f t="shared" si="2"/>
        <v>P.R. China-gov</v>
      </c>
      <c r="B121" t="s">
        <v>21</v>
      </c>
      <c r="C121" t="s">
        <v>257</v>
      </c>
      <c r="D121" s="4"/>
      <c r="E121" s="4"/>
      <c r="F121" s="4"/>
      <c r="G121" s="2" t="s">
        <v>213</v>
      </c>
      <c r="H121">
        <v>1</v>
      </c>
      <c r="K121" t="s">
        <v>199</v>
      </c>
      <c r="L121" t="s">
        <v>200</v>
      </c>
    </row>
    <row r="122" spans="1:12">
      <c r="A122" t="str">
        <f t="shared" si="2"/>
        <v>P.R. China-gov</v>
      </c>
      <c r="B122" t="s">
        <v>21</v>
      </c>
      <c r="C122" t="s">
        <v>257</v>
      </c>
      <c r="D122" s="4"/>
      <c r="E122" s="4"/>
      <c r="F122" s="4"/>
      <c r="G122" s="2" t="s">
        <v>214</v>
      </c>
      <c r="H122">
        <v>1</v>
      </c>
      <c r="K122" t="s">
        <v>199</v>
      </c>
      <c r="L122" t="s">
        <v>200</v>
      </c>
    </row>
    <row r="123" spans="1:12">
      <c r="A123" t="str">
        <f t="shared" si="2"/>
        <v>P.R. China-gov</v>
      </c>
      <c r="B123" t="s">
        <v>21</v>
      </c>
      <c r="C123" t="s">
        <v>257</v>
      </c>
      <c r="D123" s="4"/>
      <c r="E123" s="4"/>
      <c r="F123" s="4"/>
      <c r="G123" s="2" t="s">
        <v>215</v>
      </c>
      <c r="H123">
        <v>1</v>
      </c>
      <c r="K123" t="s">
        <v>199</v>
      </c>
      <c r="L123" t="s">
        <v>200</v>
      </c>
    </row>
    <row r="124" spans="1:12">
      <c r="A124" t="str">
        <f t="shared" si="2"/>
        <v>P.R. China-gov</v>
      </c>
      <c r="B124" t="s">
        <v>21</v>
      </c>
      <c r="C124" t="s">
        <v>257</v>
      </c>
      <c r="D124" s="4"/>
      <c r="E124" s="4"/>
      <c r="F124" s="4"/>
      <c r="G124" t="s">
        <v>216</v>
      </c>
      <c r="H124">
        <v>1</v>
      </c>
      <c r="K124" t="s">
        <v>199</v>
      </c>
      <c r="L124" t="s">
        <v>200</v>
      </c>
    </row>
  </sheetData>
  <sheetProtection sheet="1" objects="1"/>
  <autoFilter xmlns:etc="http://www.wps.cn/officeDocument/2017/etCustomData" ref="A1:L124" etc:filterBottomFollowUsedRange="0">
    <extLst/>
  </autoFilter>
  <mergeCells count="2">
    <mergeCell ref="H3:L92"/>
    <mergeCell ref="D93:F124"/>
  </mergeCells>
  <dataValidations count="6">
    <dataValidation allowBlank="1" showInputMessage="1" showErrorMessage="1" promptTitle="注意，此处是初步标签" prompt="注意，此处是初步标签" sqref="F1 F3:F1048576"/>
    <dataValidation allowBlank="1" showInputMessage="1" showErrorMessage="1" promptTitle="注意，这个是研判后标签" prompt="注意，这个是研判后标签" sqref="G1 G3:G92 G125:G1048576"/>
    <dataValidation type="list" allowBlank="1" showInputMessage="1" showErrorMessage="1" sqref="B3:B1048576">
      <formula1>"user,worker,tech,gov"</formula1>
    </dataValidation>
    <dataValidation type="list" allowBlank="1" showInputMessage="1" showErrorMessage="1" sqref="C3:C1048576">
      <formula1>"P.R. China,United States,European Union,Kenya"</formula1>
    </dataValidation>
    <dataValidation type="list" allowBlank="1" showInputMessage="1" showErrorMessage="1" sqref="D3:D92 D125:D1048576">
      <formula1>"DeepSeek Reasoner V3.2,OpenAI ChatGPT 5.4 Pro,Google Gemini 3.1 Pro Preview,Doubao Seed 2.0 Pro"</formula1>
    </dataValidation>
    <dataValidation type="list" allowBlank="1" showInputMessage="1" showErrorMessage="1" sqref="L3:L1048576">
      <formula1>"1(4/4),0.75(3/4),0.6(2/4+votepass),0.4(2/4+votedenied),0.25(1/4)"</formula1>
    </dataValidation>
  </dataValidations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7"/>
  <sheetViews>
    <sheetView zoomScale="85" zoomScaleNormal="85" workbookViewId="0">
      <pane ySplit="2" topLeftCell="A48" activePane="bottomLeft" state="frozen"/>
      <selection/>
      <selection pane="bottomLeft" activeCell="F3" sqref="F3:G86"/>
    </sheetView>
  </sheetViews>
  <sheetFormatPr defaultColWidth="8.61261261261261" defaultRowHeight="14.1"/>
  <cols>
    <col min="1" max="1" width="20.7117117117117" customWidth="1"/>
    <col min="2" max="2" width="11.7027027027027" customWidth="1"/>
    <col min="3" max="3" width="19.5495495495495" customWidth="1"/>
    <col min="4" max="4" width="25.1621621621622" customWidth="1"/>
    <col min="5" max="5" width="12.8558558558559" customWidth="1"/>
    <col min="6" max="6" width="24.7297297297297" customWidth="1"/>
    <col min="7" max="7" width="34.0810810810811" customWidth="1"/>
    <col min="8" max="8" width="11.7027027027027" customWidth="1"/>
    <col min="9" max="9" width="13.9369369369369" customWidth="1"/>
    <col min="10" max="10" width="11.7027027027027" customWidth="1"/>
    <col min="11" max="11" width="20.7117117117117" customWidth="1"/>
    <col min="12" max="12" width="17.3243243243243" customWidth="1"/>
  </cols>
  <sheetData>
    <row r="1" spans="1:12">
      <c r="A1" s="3" t="s">
        <v>6</v>
      </c>
      <c r="B1" s="3" t="s">
        <v>266</v>
      </c>
      <c r="C1" s="3" t="s">
        <v>267</v>
      </c>
      <c r="D1" s="3" t="s">
        <v>268</v>
      </c>
      <c r="E1" s="3" t="s">
        <v>269</v>
      </c>
      <c r="F1" s="3" t="s">
        <v>270</v>
      </c>
      <c r="G1" s="3" t="s">
        <v>271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</row>
    <row r="2" spans="1:12">
      <c r="A2" s="3" t="s">
        <v>272</v>
      </c>
      <c r="B2" s="3" t="s">
        <v>272</v>
      </c>
      <c r="C2" s="3" t="s">
        <v>272</v>
      </c>
      <c r="D2" s="3" t="s">
        <v>272</v>
      </c>
      <c r="E2" s="3" t="str">
        <f t="shared" ref="E2:E65" si="0">IF(OR(D2="Doubao Seed 2.0 Pro",D2="DeepSeek Reasoner V3.2"),"China","US")</f>
        <v>US</v>
      </c>
      <c r="F2" s="3" t="s">
        <v>272</v>
      </c>
      <c r="G2" s="3" t="s">
        <v>272</v>
      </c>
      <c r="H2" s="3" t="s">
        <v>272</v>
      </c>
      <c r="I2" s="3">
        <f ca="1">RANDBETWEEN(10000,99999)</f>
        <v>18009</v>
      </c>
      <c r="J2" s="3" t="str">
        <f ca="1">IF(MOD(I2,2)=0,"China-backup","US-backup")</f>
        <v>US-backup</v>
      </c>
      <c r="K2" s="3" t="s">
        <v>272</v>
      </c>
      <c r="L2" s="3" t="s">
        <v>272</v>
      </c>
    </row>
    <row r="3" spans="1:12">
      <c r="A3" s="3" t="str">
        <f t="shared" ref="A3:A66" si="1">C3&amp;"-"&amp;B3</f>
        <v>P.R. China-tech</v>
      </c>
      <c r="B3" s="3" t="s">
        <v>61</v>
      </c>
      <c r="C3" s="3" t="s">
        <v>257</v>
      </c>
      <c r="D3" s="3" t="s">
        <v>273</v>
      </c>
      <c r="E3" s="3" t="str">
        <f t="shared" si="0"/>
        <v>China</v>
      </c>
      <c r="F3" s="3" t="s">
        <v>346</v>
      </c>
      <c r="G3" s="3" t="s">
        <v>100</v>
      </c>
      <c r="H3" s="4" t="s">
        <v>197</v>
      </c>
      <c r="I3" s="4"/>
      <c r="J3" s="4"/>
      <c r="K3" s="4"/>
      <c r="L3" s="4"/>
    </row>
    <row r="4" ht="11" customHeight="1" spans="1:12">
      <c r="A4" s="3" t="str">
        <f t="shared" si="1"/>
        <v>P.R. China-tech</v>
      </c>
      <c r="B4" s="3" t="s">
        <v>61</v>
      </c>
      <c r="C4" s="3" t="s">
        <v>257</v>
      </c>
      <c r="D4" s="3" t="s">
        <v>273</v>
      </c>
      <c r="E4" s="3" t="str">
        <f t="shared" si="0"/>
        <v>China</v>
      </c>
      <c r="F4" s="3" t="s">
        <v>347</v>
      </c>
      <c r="G4" s="3" t="s">
        <v>128</v>
      </c>
      <c r="H4" s="4"/>
      <c r="I4" s="4"/>
      <c r="J4" s="4"/>
      <c r="K4" s="4"/>
      <c r="L4" s="4"/>
    </row>
    <row r="5" spans="1:12">
      <c r="A5" s="3" t="str">
        <f t="shared" si="1"/>
        <v>P.R. China-tech</v>
      </c>
      <c r="B5" s="3" t="s">
        <v>61</v>
      </c>
      <c r="C5" s="3" t="s">
        <v>257</v>
      </c>
      <c r="D5" s="3" t="s">
        <v>273</v>
      </c>
      <c r="E5" s="3" t="str">
        <f t="shared" si="0"/>
        <v>China</v>
      </c>
      <c r="F5" s="3" t="s">
        <v>348</v>
      </c>
      <c r="G5" s="3" t="s">
        <v>122</v>
      </c>
      <c r="H5" s="4"/>
      <c r="I5" s="4"/>
      <c r="J5" s="4"/>
      <c r="K5" s="4"/>
      <c r="L5" s="4"/>
    </row>
    <row r="6" spans="1:12">
      <c r="A6" s="3" t="str">
        <f t="shared" si="1"/>
        <v>P.R. China-tech</v>
      </c>
      <c r="B6" s="3" t="s">
        <v>61</v>
      </c>
      <c r="C6" s="3" t="s">
        <v>257</v>
      </c>
      <c r="D6" s="3" t="s">
        <v>273</v>
      </c>
      <c r="E6" s="3" t="str">
        <f t="shared" si="0"/>
        <v>China</v>
      </c>
      <c r="F6" s="3" t="s">
        <v>349</v>
      </c>
      <c r="G6" s="3" t="s">
        <v>218</v>
      </c>
      <c r="H6" s="4"/>
      <c r="I6" s="4"/>
      <c r="J6" s="4"/>
      <c r="K6" s="4"/>
      <c r="L6" s="4"/>
    </row>
    <row r="7" spans="1:12">
      <c r="A7" s="3" t="str">
        <f t="shared" si="1"/>
        <v>P.R. China-tech</v>
      </c>
      <c r="B7" s="3" t="s">
        <v>61</v>
      </c>
      <c r="C7" s="3" t="s">
        <v>257</v>
      </c>
      <c r="D7" s="3" t="s">
        <v>273</v>
      </c>
      <c r="E7" s="3" t="str">
        <f t="shared" si="0"/>
        <v>China</v>
      </c>
      <c r="F7" s="3" t="s">
        <v>350</v>
      </c>
      <c r="G7" s="3" t="s">
        <v>108</v>
      </c>
      <c r="H7" s="4"/>
      <c r="I7" s="4"/>
      <c r="J7" s="4"/>
      <c r="K7" s="4"/>
      <c r="L7" s="4"/>
    </row>
    <row r="8" spans="1:12">
      <c r="A8" s="3" t="str">
        <f t="shared" si="1"/>
        <v>P.R. China-tech</v>
      </c>
      <c r="B8" s="3" t="s">
        <v>61</v>
      </c>
      <c r="C8" s="3" t="s">
        <v>257</v>
      </c>
      <c r="D8" s="3" t="s">
        <v>273</v>
      </c>
      <c r="E8" s="3" t="str">
        <f t="shared" si="0"/>
        <v>China</v>
      </c>
      <c r="F8" s="3" t="s">
        <v>351</v>
      </c>
      <c r="G8" s="3" t="s">
        <v>108</v>
      </c>
      <c r="H8" s="4"/>
      <c r="I8" s="4"/>
      <c r="J8" s="4"/>
      <c r="K8" s="4"/>
      <c r="L8" s="4"/>
    </row>
    <row r="9" spans="1:12">
      <c r="A9" s="3" t="str">
        <f t="shared" si="1"/>
        <v>P.R. China-tech</v>
      </c>
      <c r="B9" s="3" t="s">
        <v>61</v>
      </c>
      <c r="C9" s="3" t="s">
        <v>257</v>
      </c>
      <c r="D9" s="3" t="s">
        <v>273</v>
      </c>
      <c r="E9" s="3" t="str">
        <f t="shared" si="0"/>
        <v>China</v>
      </c>
      <c r="F9" s="3" t="s">
        <v>352</v>
      </c>
      <c r="G9" s="3" t="s">
        <v>100</v>
      </c>
      <c r="H9" s="4"/>
      <c r="I9" s="4"/>
      <c r="J9" s="4"/>
      <c r="K9" s="4"/>
      <c r="L9" s="4"/>
    </row>
    <row r="10" spans="1:12">
      <c r="A10" s="3" t="str">
        <f t="shared" si="1"/>
        <v>P.R. China-tech</v>
      </c>
      <c r="B10" s="3" t="s">
        <v>61</v>
      </c>
      <c r="C10" s="3" t="s">
        <v>257</v>
      </c>
      <c r="D10" s="3" t="s">
        <v>273</v>
      </c>
      <c r="E10" s="3" t="str">
        <f t="shared" si="0"/>
        <v>China</v>
      </c>
      <c r="F10" s="3" t="s">
        <v>353</v>
      </c>
      <c r="G10" s="3" t="s">
        <v>125</v>
      </c>
      <c r="H10" s="4"/>
      <c r="I10" s="4"/>
      <c r="J10" s="4"/>
      <c r="K10" s="4"/>
      <c r="L10" s="4"/>
    </row>
    <row r="11" spans="1:12">
      <c r="A11" s="3" t="str">
        <f t="shared" si="1"/>
        <v>P.R. China-tech</v>
      </c>
      <c r="B11" s="3" t="s">
        <v>61</v>
      </c>
      <c r="C11" s="3" t="s">
        <v>257</v>
      </c>
      <c r="D11" s="3" t="s">
        <v>273</v>
      </c>
      <c r="E11" s="3" t="str">
        <f t="shared" si="0"/>
        <v>China</v>
      </c>
      <c r="F11" s="3" t="s">
        <v>354</v>
      </c>
      <c r="G11" s="3" t="s">
        <v>125</v>
      </c>
      <c r="H11" s="4"/>
      <c r="I11" s="4"/>
      <c r="J11" s="4"/>
      <c r="K11" s="4"/>
      <c r="L11" s="4"/>
    </row>
    <row r="12" spans="1:12">
      <c r="A12" s="3" t="str">
        <f t="shared" si="1"/>
        <v>P.R. China-tech</v>
      </c>
      <c r="B12" s="3" t="s">
        <v>61</v>
      </c>
      <c r="C12" s="3" t="s">
        <v>257</v>
      </c>
      <c r="D12" s="3" t="s">
        <v>273</v>
      </c>
      <c r="E12" s="3" t="str">
        <f t="shared" si="0"/>
        <v>China</v>
      </c>
      <c r="F12" s="3" t="s">
        <v>355</v>
      </c>
      <c r="G12" s="3" t="s">
        <v>80</v>
      </c>
      <c r="H12" s="4"/>
      <c r="I12" s="4"/>
      <c r="J12" s="4"/>
      <c r="K12" s="4"/>
      <c r="L12" s="4"/>
    </row>
    <row r="13" spans="1:12">
      <c r="A13" s="3" t="str">
        <f t="shared" si="1"/>
        <v>P.R. China-tech</v>
      </c>
      <c r="B13" s="3" t="s">
        <v>61</v>
      </c>
      <c r="C13" s="3" t="s">
        <v>257</v>
      </c>
      <c r="D13" s="3" t="s">
        <v>273</v>
      </c>
      <c r="E13" s="3" t="str">
        <f t="shared" si="0"/>
        <v>China</v>
      </c>
      <c r="F13" s="3" t="s">
        <v>356</v>
      </c>
      <c r="G13" s="3" t="s">
        <v>94</v>
      </c>
      <c r="H13" s="4"/>
      <c r="I13" s="4"/>
      <c r="J13" s="4"/>
      <c r="K13" s="4"/>
      <c r="L13" s="4"/>
    </row>
    <row r="14" spans="1:12">
      <c r="A14" s="3" t="str">
        <f t="shared" si="1"/>
        <v>P.R. China-tech</v>
      </c>
      <c r="B14" s="3" t="s">
        <v>61</v>
      </c>
      <c r="C14" s="3" t="s">
        <v>257</v>
      </c>
      <c r="D14" s="3" t="s">
        <v>273</v>
      </c>
      <c r="E14" s="3" t="str">
        <f t="shared" si="0"/>
        <v>China</v>
      </c>
      <c r="F14" s="3" t="s">
        <v>357</v>
      </c>
      <c r="G14" s="3" t="s">
        <v>100</v>
      </c>
      <c r="H14" s="4"/>
      <c r="I14" s="4"/>
      <c r="J14" s="4"/>
      <c r="K14" s="4"/>
      <c r="L14" s="4"/>
    </row>
    <row r="15" spans="1:12">
      <c r="A15" s="3" t="str">
        <f t="shared" si="1"/>
        <v>P.R. China-tech</v>
      </c>
      <c r="B15" s="3" t="s">
        <v>61</v>
      </c>
      <c r="C15" s="3" t="s">
        <v>257</v>
      </c>
      <c r="D15" s="3" t="s">
        <v>273</v>
      </c>
      <c r="E15" s="3" t="str">
        <f t="shared" si="0"/>
        <v>China</v>
      </c>
      <c r="F15" s="3" t="s">
        <v>358</v>
      </c>
      <c r="G15" s="3" t="s">
        <v>100</v>
      </c>
      <c r="H15" s="4"/>
      <c r="I15" s="4"/>
      <c r="J15" s="4"/>
      <c r="K15" s="4"/>
      <c r="L15" s="4"/>
    </row>
    <row r="16" spans="1:12">
      <c r="A16" s="3" t="str">
        <f t="shared" si="1"/>
        <v>P.R. China-tech</v>
      </c>
      <c r="B16" s="3" t="s">
        <v>61</v>
      </c>
      <c r="C16" s="3" t="s">
        <v>257</v>
      </c>
      <c r="D16" s="3" t="s">
        <v>273</v>
      </c>
      <c r="E16" s="3" t="str">
        <f t="shared" si="0"/>
        <v>China</v>
      </c>
      <c r="F16" s="3" t="s">
        <v>359</v>
      </c>
      <c r="G16" s="3" t="s">
        <v>92</v>
      </c>
      <c r="H16" s="4"/>
      <c r="I16" s="4"/>
      <c r="J16" s="4"/>
      <c r="K16" s="4"/>
      <c r="L16" s="4"/>
    </row>
    <row r="17" spans="1:12">
      <c r="A17" s="3" t="str">
        <f t="shared" si="1"/>
        <v>P.R. China-tech</v>
      </c>
      <c r="B17" s="3" t="s">
        <v>61</v>
      </c>
      <c r="C17" s="3" t="s">
        <v>257</v>
      </c>
      <c r="D17" s="3" t="s">
        <v>273</v>
      </c>
      <c r="E17" s="3" t="str">
        <f t="shared" si="0"/>
        <v>China</v>
      </c>
      <c r="F17" s="3" t="s">
        <v>360</v>
      </c>
      <c r="G17" s="3" t="s">
        <v>118</v>
      </c>
      <c r="H17" s="4"/>
      <c r="I17" s="4"/>
      <c r="J17" s="4"/>
      <c r="K17" s="4"/>
      <c r="L17" s="4"/>
    </row>
    <row r="18" spans="1:12">
      <c r="A18" s="3" t="str">
        <f t="shared" si="1"/>
        <v>P.R. China-tech</v>
      </c>
      <c r="B18" s="3" t="s">
        <v>61</v>
      </c>
      <c r="C18" s="3" t="s">
        <v>257</v>
      </c>
      <c r="D18" s="3" t="s">
        <v>273</v>
      </c>
      <c r="E18" s="3" t="str">
        <f t="shared" si="0"/>
        <v>China</v>
      </c>
      <c r="F18" s="3" t="s">
        <v>361</v>
      </c>
      <c r="G18" s="3" t="s">
        <v>113</v>
      </c>
      <c r="H18" s="4"/>
      <c r="I18" s="4"/>
      <c r="J18" s="4"/>
      <c r="K18" s="4"/>
      <c r="L18" s="4"/>
    </row>
    <row r="19" spans="1:12">
      <c r="A19" s="3" t="str">
        <f t="shared" si="1"/>
        <v>P.R. China-tech</v>
      </c>
      <c r="B19" s="3" t="s">
        <v>61</v>
      </c>
      <c r="C19" s="3" t="s">
        <v>257</v>
      </c>
      <c r="D19" s="3" t="s">
        <v>273</v>
      </c>
      <c r="E19" s="3" t="str">
        <f t="shared" si="0"/>
        <v>China</v>
      </c>
      <c r="F19" s="3" t="s">
        <v>362</v>
      </c>
      <c r="G19" s="3" t="s">
        <v>95</v>
      </c>
      <c r="H19" s="4"/>
      <c r="I19" s="4"/>
      <c r="J19" s="4"/>
      <c r="K19" s="4"/>
      <c r="L19" s="4"/>
    </row>
    <row r="20" spans="1:12">
      <c r="A20" s="3" t="str">
        <f t="shared" si="1"/>
        <v>P.R. China-tech</v>
      </c>
      <c r="B20" s="3" t="s">
        <v>61</v>
      </c>
      <c r="C20" s="3" t="s">
        <v>257</v>
      </c>
      <c r="D20" s="3" t="s">
        <v>273</v>
      </c>
      <c r="E20" s="3" t="str">
        <f t="shared" si="0"/>
        <v>China</v>
      </c>
      <c r="F20" s="3" t="s">
        <v>363</v>
      </c>
      <c r="G20" s="3" t="s">
        <v>121</v>
      </c>
      <c r="H20" s="4"/>
      <c r="I20" s="4"/>
      <c r="J20" s="4"/>
      <c r="K20" s="4"/>
      <c r="L20" s="4"/>
    </row>
    <row r="21" spans="1:12">
      <c r="A21" s="3" t="str">
        <f t="shared" si="1"/>
        <v>P.R. China-tech</v>
      </c>
      <c r="B21" s="3" t="s">
        <v>61</v>
      </c>
      <c r="C21" s="3" t="s">
        <v>257</v>
      </c>
      <c r="D21" s="3" t="s">
        <v>273</v>
      </c>
      <c r="E21" s="3" t="str">
        <f t="shared" si="0"/>
        <v>China</v>
      </c>
      <c r="F21" s="3" t="s">
        <v>364</v>
      </c>
      <c r="G21" s="3" t="s">
        <v>113</v>
      </c>
      <c r="H21" s="4"/>
      <c r="I21" s="4"/>
      <c r="J21" s="4"/>
      <c r="K21" s="4"/>
      <c r="L21" s="4"/>
    </row>
    <row r="22" spans="1:12">
      <c r="A22" s="3" t="str">
        <f t="shared" si="1"/>
        <v>P.R. China-tech</v>
      </c>
      <c r="B22" s="3" t="s">
        <v>61</v>
      </c>
      <c r="C22" s="3" t="s">
        <v>257</v>
      </c>
      <c r="D22" s="3" t="s">
        <v>273</v>
      </c>
      <c r="E22" s="3" t="str">
        <f t="shared" si="0"/>
        <v>China</v>
      </c>
      <c r="F22" s="3" t="s">
        <v>365</v>
      </c>
      <c r="G22" s="3" t="s">
        <v>107</v>
      </c>
      <c r="H22" s="4"/>
      <c r="I22" s="4"/>
      <c r="J22" s="4"/>
      <c r="K22" s="4"/>
      <c r="L22" s="4"/>
    </row>
    <row r="23" spans="1:12">
      <c r="A23" s="3" t="str">
        <f t="shared" si="1"/>
        <v>P.R. China-tech</v>
      </c>
      <c r="B23" s="3" t="s">
        <v>61</v>
      </c>
      <c r="C23" s="3" t="s">
        <v>257</v>
      </c>
      <c r="D23" s="3" t="s">
        <v>297</v>
      </c>
      <c r="E23" s="3" t="str">
        <f t="shared" si="0"/>
        <v>China</v>
      </c>
      <c r="F23" s="3" t="s">
        <v>346</v>
      </c>
      <c r="G23" s="3" t="s">
        <v>100</v>
      </c>
      <c r="H23" s="4"/>
      <c r="I23" s="4"/>
      <c r="J23" s="4"/>
      <c r="K23" s="4"/>
      <c r="L23" s="4"/>
    </row>
    <row r="24" spans="1:12">
      <c r="A24" s="3" t="str">
        <f t="shared" si="1"/>
        <v>P.R. China-tech</v>
      </c>
      <c r="B24" s="3" t="s">
        <v>61</v>
      </c>
      <c r="C24" s="3" t="s">
        <v>257</v>
      </c>
      <c r="D24" s="3" t="s">
        <v>297</v>
      </c>
      <c r="E24" s="3" t="str">
        <f t="shared" si="0"/>
        <v>China</v>
      </c>
      <c r="F24" s="3" t="s">
        <v>347</v>
      </c>
      <c r="G24" s="3" t="s">
        <v>128</v>
      </c>
      <c r="H24" s="4"/>
      <c r="I24" s="4"/>
      <c r="J24" s="4"/>
      <c r="K24" s="4"/>
      <c r="L24" s="4"/>
    </row>
    <row r="25" spans="1:12">
      <c r="A25" s="3" t="str">
        <f t="shared" si="1"/>
        <v>P.R. China-tech</v>
      </c>
      <c r="B25" s="3" t="s">
        <v>61</v>
      </c>
      <c r="C25" s="3" t="s">
        <v>257</v>
      </c>
      <c r="D25" s="3" t="s">
        <v>297</v>
      </c>
      <c r="E25" s="3" t="str">
        <f t="shared" si="0"/>
        <v>China</v>
      </c>
      <c r="F25" s="3" t="s">
        <v>353</v>
      </c>
      <c r="G25" s="3" t="s">
        <v>125</v>
      </c>
      <c r="H25" s="4"/>
      <c r="I25" s="4"/>
      <c r="J25" s="4"/>
      <c r="K25" s="4"/>
      <c r="L25" s="4"/>
    </row>
    <row r="26" spans="1:12">
      <c r="A26" s="3" t="str">
        <f t="shared" si="1"/>
        <v>P.R. China-tech</v>
      </c>
      <c r="B26" s="3" t="s">
        <v>61</v>
      </c>
      <c r="C26" s="3" t="s">
        <v>257</v>
      </c>
      <c r="D26" s="3" t="s">
        <v>297</v>
      </c>
      <c r="E26" s="3" t="str">
        <f t="shared" si="0"/>
        <v>China</v>
      </c>
      <c r="F26" s="3" t="s">
        <v>366</v>
      </c>
      <c r="G26" s="3" t="s">
        <v>125</v>
      </c>
      <c r="H26" s="4"/>
      <c r="I26" s="4"/>
      <c r="J26" s="4"/>
      <c r="K26" s="4"/>
      <c r="L26" s="4"/>
    </row>
    <row r="27" spans="1:12">
      <c r="A27" s="3" t="str">
        <f t="shared" si="1"/>
        <v>P.R. China-tech</v>
      </c>
      <c r="B27" s="3" t="s">
        <v>61</v>
      </c>
      <c r="C27" s="3" t="s">
        <v>257</v>
      </c>
      <c r="D27" s="3" t="s">
        <v>297</v>
      </c>
      <c r="E27" s="3" t="str">
        <f t="shared" si="0"/>
        <v>China</v>
      </c>
      <c r="F27" s="3" t="s">
        <v>367</v>
      </c>
      <c r="G27" s="3" t="s">
        <v>125</v>
      </c>
      <c r="H27" s="4"/>
      <c r="I27" s="4"/>
      <c r="J27" s="4"/>
      <c r="K27" s="4"/>
      <c r="L27" s="4"/>
    </row>
    <row r="28" spans="1:12">
      <c r="A28" s="3" t="str">
        <f t="shared" si="1"/>
        <v>P.R. China-tech</v>
      </c>
      <c r="B28" s="3" t="s">
        <v>61</v>
      </c>
      <c r="C28" s="3" t="s">
        <v>257</v>
      </c>
      <c r="D28" s="3" t="s">
        <v>297</v>
      </c>
      <c r="E28" s="3" t="str">
        <f t="shared" si="0"/>
        <v>China</v>
      </c>
      <c r="F28" s="3" t="s">
        <v>348</v>
      </c>
      <c r="G28" s="3" t="s">
        <v>122</v>
      </c>
      <c r="H28" s="4"/>
      <c r="I28" s="4"/>
      <c r="J28" s="4"/>
      <c r="K28" s="4"/>
      <c r="L28" s="4"/>
    </row>
    <row r="29" spans="1:12">
      <c r="A29" s="3" t="str">
        <f t="shared" si="1"/>
        <v>P.R. China-tech</v>
      </c>
      <c r="B29" s="3" t="s">
        <v>61</v>
      </c>
      <c r="C29" s="3" t="s">
        <v>257</v>
      </c>
      <c r="D29" s="3" t="s">
        <v>297</v>
      </c>
      <c r="E29" s="3" t="str">
        <f t="shared" si="0"/>
        <v>China</v>
      </c>
      <c r="F29" s="3" t="s">
        <v>368</v>
      </c>
      <c r="G29" s="3" t="s">
        <v>122</v>
      </c>
      <c r="H29" s="4"/>
      <c r="I29" s="4"/>
      <c r="J29" s="4"/>
      <c r="K29" s="4"/>
      <c r="L29" s="4"/>
    </row>
    <row r="30" spans="1:12">
      <c r="A30" s="3" t="str">
        <f t="shared" si="1"/>
        <v>P.R. China-tech</v>
      </c>
      <c r="B30" s="3" t="s">
        <v>61</v>
      </c>
      <c r="C30" s="3" t="s">
        <v>257</v>
      </c>
      <c r="D30" s="3" t="s">
        <v>297</v>
      </c>
      <c r="E30" s="3" t="str">
        <f t="shared" si="0"/>
        <v>China</v>
      </c>
      <c r="F30" s="3" t="s">
        <v>356</v>
      </c>
      <c r="G30" s="3" t="s">
        <v>94</v>
      </c>
      <c r="H30" s="4"/>
      <c r="I30" s="4"/>
      <c r="J30" s="4"/>
      <c r="K30" s="4"/>
      <c r="L30" s="4"/>
    </row>
    <row r="31" spans="1:12">
      <c r="A31" s="3" t="str">
        <f t="shared" si="1"/>
        <v>P.R. China-tech</v>
      </c>
      <c r="B31" s="3" t="s">
        <v>61</v>
      </c>
      <c r="C31" s="3" t="s">
        <v>257</v>
      </c>
      <c r="D31" s="3" t="s">
        <v>297</v>
      </c>
      <c r="E31" s="3" t="str">
        <f t="shared" si="0"/>
        <v>China</v>
      </c>
      <c r="F31" s="3" t="s">
        <v>369</v>
      </c>
      <c r="G31" s="3" t="s">
        <v>94</v>
      </c>
      <c r="H31" s="4"/>
      <c r="I31" s="4"/>
      <c r="J31" s="4"/>
      <c r="K31" s="4"/>
      <c r="L31" s="4"/>
    </row>
    <row r="32" spans="1:12">
      <c r="A32" s="3" t="str">
        <f t="shared" si="1"/>
        <v>P.R. China-tech</v>
      </c>
      <c r="B32" s="3" t="s">
        <v>61</v>
      </c>
      <c r="C32" s="3" t="s">
        <v>257</v>
      </c>
      <c r="D32" s="3" t="s">
        <v>297</v>
      </c>
      <c r="E32" s="3" t="str">
        <f t="shared" si="0"/>
        <v>China</v>
      </c>
      <c r="F32" s="3" t="s">
        <v>370</v>
      </c>
      <c r="G32" s="3" t="s">
        <v>113</v>
      </c>
      <c r="H32" s="4"/>
      <c r="I32" s="4"/>
      <c r="J32" s="4"/>
      <c r="K32" s="4"/>
      <c r="L32" s="4"/>
    </row>
    <row r="33" spans="1:12">
      <c r="A33" s="3" t="str">
        <f t="shared" si="1"/>
        <v>P.R. China-tech</v>
      </c>
      <c r="B33" s="3" t="s">
        <v>61</v>
      </c>
      <c r="C33" s="3" t="s">
        <v>257</v>
      </c>
      <c r="D33" s="3" t="s">
        <v>297</v>
      </c>
      <c r="E33" s="3" t="str">
        <f t="shared" si="0"/>
        <v>China</v>
      </c>
      <c r="F33" s="3" t="s">
        <v>371</v>
      </c>
      <c r="G33" s="3" t="s">
        <v>100</v>
      </c>
      <c r="H33" s="4"/>
      <c r="I33" s="4"/>
      <c r="J33" s="4"/>
      <c r="K33" s="4"/>
      <c r="L33" s="4"/>
    </row>
    <row r="34" spans="1:12">
      <c r="A34" s="3" t="str">
        <f t="shared" si="1"/>
        <v>P.R. China-tech</v>
      </c>
      <c r="B34" s="3" t="s">
        <v>61</v>
      </c>
      <c r="C34" s="3" t="s">
        <v>257</v>
      </c>
      <c r="D34" s="3" t="s">
        <v>297</v>
      </c>
      <c r="E34" s="3" t="str">
        <f t="shared" si="0"/>
        <v>China</v>
      </c>
      <c r="F34" s="3" t="s">
        <v>372</v>
      </c>
      <c r="G34" s="3" t="s">
        <v>131</v>
      </c>
      <c r="H34" s="4"/>
      <c r="I34" s="4"/>
      <c r="J34" s="4"/>
      <c r="K34" s="4"/>
      <c r="L34" s="4"/>
    </row>
    <row r="35" spans="1:12">
      <c r="A35" s="3" t="str">
        <f t="shared" si="1"/>
        <v>P.R. China-tech</v>
      </c>
      <c r="B35" s="3" t="s">
        <v>61</v>
      </c>
      <c r="C35" s="3" t="s">
        <v>257</v>
      </c>
      <c r="D35" s="3" t="s">
        <v>297</v>
      </c>
      <c r="E35" s="3" t="str">
        <f t="shared" si="0"/>
        <v>China</v>
      </c>
      <c r="F35" s="3" t="s">
        <v>373</v>
      </c>
      <c r="G35" s="3" t="s">
        <v>209</v>
      </c>
      <c r="H35" s="4"/>
      <c r="I35" s="4"/>
      <c r="J35" s="4"/>
      <c r="K35" s="4"/>
      <c r="L35" s="4"/>
    </row>
    <row r="36" spans="1:12">
      <c r="A36" s="3" t="str">
        <f t="shared" si="1"/>
        <v>P.R. China-tech</v>
      </c>
      <c r="B36" s="3" t="s">
        <v>61</v>
      </c>
      <c r="C36" s="3" t="s">
        <v>257</v>
      </c>
      <c r="D36" s="3" t="s">
        <v>297</v>
      </c>
      <c r="E36" s="3" t="str">
        <f t="shared" si="0"/>
        <v>China</v>
      </c>
      <c r="F36" s="3" t="s">
        <v>374</v>
      </c>
      <c r="G36" s="3" t="s">
        <v>204</v>
      </c>
      <c r="H36" s="4"/>
      <c r="I36" s="4"/>
      <c r="J36" s="4"/>
      <c r="K36" s="4"/>
      <c r="L36" s="4"/>
    </row>
    <row r="37" spans="1:12">
      <c r="A37" s="3" t="str">
        <f t="shared" si="1"/>
        <v>P.R. China-tech</v>
      </c>
      <c r="B37" s="3" t="s">
        <v>61</v>
      </c>
      <c r="C37" s="3" t="s">
        <v>257</v>
      </c>
      <c r="D37" s="3" t="s">
        <v>297</v>
      </c>
      <c r="E37" s="3" t="str">
        <f t="shared" si="0"/>
        <v>China</v>
      </c>
      <c r="F37" s="3" t="s">
        <v>361</v>
      </c>
      <c r="G37" s="3" t="s">
        <v>113</v>
      </c>
      <c r="H37" s="4"/>
      <c r="I37" s="4"/>
      <c r="J37" s="4"/>
      <c r="K37" s="4"/>
      <c r="L37" s="4"/>
    </row>
    <row r="38" spans="1:12">
      <c r="A38" s="3" t="str">
        <f t="shared" si="1"/>
        <v>P.R. China-tech</v>
      </c>
      <c r="B38" s="3" t="s">
        <v>61</v>
      </c>
      <c r="C38" s="3" t="s">
        <v>257</v>
      </c>
      <c r="D38" s="3" t="s">
        <v>297</v>
      </c>
      <c r="E38" s="3" t="str">
        <f t="shared" si="0"/>
        <v>China</v>
      </c>
      <c r="F38" s="3" t="s">
        <v>375</v>
      </c>
      <c r="G38" s="3" t="s">
        <v>221</v>
      </c>
      <c r="H38" s="4"/>
      <c r="I38" s="4"/>
      <c r="J38" s="4"/>
      <c r="K38" s="4"/>
      <c r="L38" s="4"/>
    </row>
    <row r="39" spans="1:12">
      <c r="A39" s="3" t="str">
        <f t="shared" si="1"/>
        <v>P.R. China-tech</v>
      </c>
      <c r="B39" s="3" t="s">
        <v>61</v>
      </c>
      <c r="C39" s="3" t="s">
        <v>257</v>
      </c>
      <c r="D39" s="3" t="s">
        <v>297</v>
      </c>
      <c r="E39" s="3" t="str">
        <f t="shared" si="0"/>
        <v>China</v>
      </c>
      <c r="F39" s="3" t="s">
        <v>376</v>
      </c>
      <c r="G39" s="3" t="s">
        <v>121</v>
      </c>
      <c r="H39" s="4"/>
      <c r="I39" s="4"/>
      <c r="J39" s="4"/>
      <c r="K39" s="4"/>
      <c r="L39" s="4"/>
    </row>
    <row r="40" spans="1:12">
      <c r="A40" s="3" t="str">
        <f t="shared" si="1"/>
        <v>P.R. China-tech</v>
      </c>
      <c r="B40" s="3" t="s">
        <v>61</v>
      </c>
      <c r="C40" s="3" t="s">
        <v>257</v>
      </c>
      <c r="D40" s="3" t="s">
        <v>297</v>
      </c>
      <c r="E40" s="3" t="str">
        <f t="shared" si="0"/>
        <v>China</v>
      </c>
      <c r="F40" s="3" t="s">
        <v>377</v>
      </c>
      <c r="G40" s="3" t="s">
        <v>121</v>
      </c>
      <c r="H40" s="4"/>
      <c r="I40" s="4"/>
      <c r="J40" s="4"/>
      <c r="K40" s="4"/>
      <c r="L40" s="4"/>
    </row>
    <row r="41" spans="1:12">
      <c r="A41" s="3" t="str">
        <f t="shared" si="1"/>
        <v>P.R. China-tech</v>
      </c>
      <c r="B41" s="3" t="s">
        <v>61</v>
      </c>
      <c r="C41" s="3" t="s">
        <v>257</v>
      </c>
      <c r="D41" s="3" t="s">
        <v>297</v>
      </c>
      <c r="E41" s="3" t="str">
        <f t="shared" si="0"/>
        <v>China</v>
      </c>
      <c r="F41" s="3" t="s">
        <v>378</v>
      </c>
      <c r="G41" s="3" t="s">
        <v>127</v>
      </c>
      <c r="H41" s="4"/>
      <c r="I41" s="4"/>
      <c r="J41" s="4"/>
      <c r="K41" s="4"/>
      <c r="L41" s="4"/>
    </row>
    <row r="42" spans="1:12">
      <c r="A42" s="3" t="str">
        <f t="shared" si="1"/>
        <v>P.R. China-tech</v>
      </c>
      <c r="B42" s="3" t="s">
        <v>61</v>
      </c>
      <c r="C42" s="3" t="s">
        <v>257</v>
      </c>
      <c r="D42" s="3" t="s">
        <v>297</v>
      </c>
      <c r="E42" s="3" t="str">
        <f t="shared" si="0"/>
        <v>China</v>
      </c>
      <c r="F42" s="3" t="s">
        <v>379</v>
      </c>
      <c r="G42" s="3" t="s">
        <v>220</v>
      </c>
      <c r="H42" s="4"/>
      <c r="I42" s="4"/>
      <c r="J42" s="4"/>
      <c r="K42" s="4"/>
      <c r="L42" s="4"/>
    </row>
    <row r="43" spans="1:12">
      <c r="A43" s="3" t="str">
        <f t="shared" si="1"/>
        <v>P.R. China-tech</v>
      </c>
      <c r="B43" s="3" t="s">
        <v>61</v>
      </c>
      <c r="C43" s="3" t="s">
        <v>257</v>
      </c>
      <c r="D43" s="3" t="s">
        <v>297</v>
      </c>
      <c r="E43" s="3" t="str">
        <f t="shared" si="0"/>
        <v>China</v>
      </c>
      <c r="F43" s="3" t="s">
        <v>380</v>
      </c>
      <c r="G43" s="3" t="s">
        <v>94</v>
      </c>
      <c r="H43" s="4"/>
      <c r="I43" s="4"/>
      <c r="J43" s="4"/>
      <c r="K43" s="4"/>
      <c r="L43" s="4"/>
    </row>
    <row r="44" spans="1:12">
      <c r="A44" s="3" t="str">
        <f t="shared" si="1"/>
        <v>P.R. China-tech</v>
      </c>
      <c r="B44" s="3" t="s">
        <v>61</v>
      </c>
      <c r="C44" s="3" t="s">
        <v>257</v>
      </c>
      <c r="D44" s="3" t="s">
        <v>314</v>
      </c>
      <c r="E44" s="3" t="str">
        <f t="shared" si="0"/>
        <v>US</v>
      </c>
      <c r="F44" s="3" t="s">
        <v>347</v>
      </c>
      <c r="G44" s="3" t="s">
        <v>128</v>
      </c>
      <c r="H44" s="4"/>
      <c r="I44" s="4"/>
      <c r="J44" s="4"/>
      <c r="K44" s="4"/>
      <c r="L44" s="4"/>
    </row>
    <row r="45" spans="1:12">
      <c r="A45" s="3" t="str">
        <f t="shared" si="1"/>
        <v>P.R. China-tech</v>
      </c>
      <c r="B45" s="3" t="s">
        <v>61</v>
      </c>
      <c r="C45" s="3" t="s">
        <v>257</v>
      </c>
      <c r="D45" s="3" t="s">
        <v>314</v>
      </c>
      <c r="E45" s="3" t="str">
        <f t="shared" si="0"/>
        <v>US</v>
      </c>
      <c r="F45" s="3" t="s">
        <v>346</v>
      </c>
      <c r="G45" s="3" t="s">
        <v>100</v>
      </c>
      <c r="H45" s="4"/>
      <c r="I45" s="4"/>
      <c r="J45" s="4"/>
      <c r="K45" s="4"/>
      <c r="L45" s="4"/>
    </row>
    <row r="46" spans="1:12">
      <c r="A46" s="3" t="str">
        <f t="shared" si="1"/>
        <v>P.R. China-tech</v>
      </c>
      <c r="B46" s="3" t="s">
        <v>61</v>
      </c>
      <c r="C46" s="3" t="s">
        <v>257</v>
      </c>
      <c r="D46" s="3" t="s">
        <v>314</v>
      </c>
      <c r="E46" s="3" t="str">
        <f t="shared" si="0"/>
        <v>US</v>
      </c>
      <c r="F46" s="3" t="s">
        <v>376</v>
      </c>
      <c r="G46" s="3" t="s">
        <v>121</v>
      </c>
      <c r="H46" s="4"/>
      <c r="I46" s="4"/>
      <c r="J46" s="4"/>
      <c r="K46" s="4"/>
      <c r="L46" s="4"/>
    </row>
    <row r="47" spans="1:12">
      <c r="A47" s="3" t="str">
        <f t="shared" si="1"/>
        <v>P.R. China-tech</v>
      </c>
      <c r="B47" s="3" t="s">
        <v>61</v>
      </c>
      <c r="C47" s="3" t="s">
        <v>257</v>
      </c>
      <c r="D47" s="3" t="s">
        <v>314</v>
      </c>
      <c r="E47" s="3" t="str">
        <f t="shared" si="0"/>
        <v>US</v>
      </c>
      <c r="F47" s="3" t="s">
        <v>353</v>
      </c>
      <c r="G47" s="3" t="s">
        <v>125</v>
      </c>
      <c r="H47" s="4"/>
      <c r="I47" s="4"/>
      <c r="J47" s="4"/>
      <c r="K47" s="4"/>
      <c r="L47" s="4"/>
    </row>
    <row r="48" spans="1:12">
      <c r="A48" s="3" t="str">
        <f t="shared" si="1"/>
        <v>P.R. China-tech</v>
      </c>
      <c r="B48" s="3" t="s">
        <v>61</v>
      </c>
      <c r="C48" s="3" t="s">
        <v>257</v>
      </c>
      <c r="D48" s="3" t="s">
        <v>314</v>
      </c>
      <c r="E48" s="3" t="str">
        <f t="shared" si="0"/>
        <v>US</v>
      </c>
      <c r="F48" s="3" t="s">
        <v>381</v>
      </c>
      <c r="G48" s="3" t="s">
        <v>125</v>
      </c>
      <c r="H48" s="4"/>
      <c r="I48" s="4"/>
      <c r="J48" s="4"/>
      <c r="K48" s="4"/>
      <c r="L48" s="4"/>
    </row>
    <row r="49" spans="1:12">
      <c r="A49" s="3" t="str">
        <f t="shared" si="1"/>
        <v>P.R. China-tech</v>
      </c>
      <c r="B49" s="3" t="s">
        <v>61</v>
      </c>
      <c r="C49" s="3" t="s">
        <v>257</v>
      </c>
      <c r="D49" s="3" t="s">
        <v>314</v>
      </c>
      <c r="E49" s="3" t="str">
        <f t="shared" si="0"/>
        <v>US</v>
      </c>
      <c r="F49" s="3" t="s">
        <v>348</v>
      </c>
      <c r="G49" s="3" t="s">
        <v>122</v>
      </c>
      <c r="H49" s="4"/>
      <c r="I49" s="4"/>
      <c r="J49" s="4"/>
      <c r="K49" s="4"/>
      <c r="L49" s="4"/>
    </row>
    <row r="50" spans="1:12">
      <c r="A50" s="3" t="str">
        <f t="shared" si="1"/>
        <v>P.R. China-tech</v>
      </c>
      <c r="B50" s="3" t="s">
        <v>61</v>
      </c>
      <c r="C50" s="3" t="s">
        <v>257</v>
      </c>
      <c r="D50" s="3" t="s">
        <v>314</v>
      </c>
      <c r="E50" s="3" t="str">
        <f t="shared" si="0"/>
        <v>US</v>
      </c>
      <c r="F50" s="3" t="s">
        <v>382</v>
      </c>
      <c r="G50" s="3" t="s">
        <v>122</v>
      </c>
      <c r="H50" s="4"/>
      <c r="I50" s="4"/>
      <c r="J50" s="4"/>
      <c r="K50" s="4"/>
      <c r="L50" s="4"/>
    </row>
    <row r="51" spans="1:12">
      <c r="A51" s="3" t="str">
        <f t="shared" si="1"/>
        <v>P.R. China-tech</v>
      </c>
      <c r="B51" s="3" t="s">
        <v>61</v>
      </c>
      <c r="C51" s="3" t="s">
        <v>257</v>
      </c>
      <c r="D51" s="3" t="s">
        <v>314</v>
      </c>
      <c r="E51" s="3" t="str">
        <f t="shared" si="0"/>
        <v>US</v>
      </c>
      <c r="F51" s="3" t="s">
        <v>383</v>
      </c>
      <c r="G51" s="3" t="s">
        <v>113</v>
      </c>
      <c r="H51" s="4"/>
      <c r="I51" s="4"/>
      <c r="J51" s="4"/>
      <c r="K51" s="4"/>
      <c r="L51" s="4"/>
    </row>
    <row r="52" spans="1:12">
      <c r="A52" s="3" t="str">
        <f t="shared" si="1"/>
        <v>P.R. China-tech</v>
      </c>
      <c r="B52" s="3" t="s">
        <v>61</v>
      </c>
      <c r="C52" s="3" t="s">
        <v>257</v>
      </c>
      <c r="D52" s="3" t="s">
        <v>314</v>
      </c>
      <c r="E52" s="3" t="str">
        <f t="shared" si="0"/>
        <v>US</v>
      </c>
      <c r="F52" s="3" t="s">
        <v>361</v>
      </c>
      <c r="G52" s="3" t="s">
        <v>113</v>
      </c>
      <c r="H52" s="4"/>
      <c r="I52" s="4"/>
      <c r="J52" s="4"/>
      <c r="K52" s="4"/>
      <c r="L52" s="4"/>
    </row>
    <row r="53" spans="1:12">
      <c r="A53" s="3" t="str">
        <f t="shared" si="1"/>
        <v>P.R. China-tech</v>
      </c>
      <c r="B53" s="3" t="s">
        <v>61</v>
      </c>
      <c r="C53" s="3" t="s">
        <v>257</v>
      </c>
      <c r="D53" s="3" t="s">
        <v>314</v>
      </c>
      <c r="E53" s="3" t="str">
        <f t="shared" si="0"/>
        <v>US</v>
      </c>
      <c r="F53" s="3" t="s">
        <v>363</v>
      </c>
      <c r="G53" s="3" t="s">
        <v>121</v>
      </c>
      <c r="H53" s="4"/>
      <c r="I53" s="4"/>
      <c r="J53" s="4"/>
      <c r="K53" s="4"/>
      <c r="L53" s="4"/>
    </row>
    <row r="54" spans="1:12">
      <c r="A54" s="3" t="str">
        <f t="shared" si="1"/>
        <v>P.R. China-tech</v>
      </c>
      <c r="B54" s="3" t="s">
        <v>61</v>
      </c>
      <c r="C54" s="3" t="s">
        <v>257</v>
      </c>
      <c r="D54" s="3" t="s">
        <v>314</v>
      </c>
      <c r="E54" s="3" t="str">
        <f t="shared" si="0"/>
        <v>US</v>
      </c>
      <c r="F54" s="3" t="s">
        <v>359</v>
      </c>
      <c r="G54" s="3" t="s">
        <v>92</v>
      </c>
      <c r="H54" s="4"/>
      <c r="I54" s="4"/>
      <c r="J54" s="4"/>
      <c r="K54" s="4"/>
      <c r="L54" s="4"/>
    </row>
    <row r="55" spans="1:12">
      <c r="A55" s="3" t="str">
        <f t="shared" si="1"/>
        <v>P.R. China-tech</v>
      </c>
      <c r="B55" s="3" t="s">
        <v>61</v>
      </c>
      <c r="C55" s="3" t="s">
        <v>257</v>
      </c>
      <c r="D55" s="3" t="s">
        <v>314</v>
      </c>
      <c r="E55" s="3" t="str">
        <f t="shared" si="0"/>
        <v>US</v>
      </c>
      <c r="F55" s="3" t="s">
        <v>384</v>
      </c>
      <c r="G55" s="3" t="s">
        <v>127</v>
      </c>
      <c r="H55" s="4"/>
      <c r="I55" s="4"/>
      <c r="J55" s="4"/>
      <c r="K55" s="4"/>
      <c r="L55" s="4"/>
    </row>
    <row r="56" spans="1:12">
      <c r="A56" s="3" t="str">
        <f t="shared" si="1"/>
        <v>P.R. China-tech</v>
      </c>
      <c r="B56" s="3" t="s">
        <v>61</v>
      </c>
      <c r="C56" s="3" t="s">
        <v>257</v>
      </c>
      <c r="D56" s="3" t="s">
        <v>329</v>
      </c>
      <c r="E56" s="3" t="str">
        <f t="shared" si="0"/>
        <v>US</v>
      </c>
      <c r="F56" s="3" t="s">
        <v>371</v>
      </c>
      <c r="G56" s="3" t="s">
        <v>100</v>
      </c>
      <c r="H56" s="4"/>
      <c r="I56" s="4"/>
      <c r="J56" s="4"/>
      <c r="K56" s="4"/>
      <c r="L56" s="4"/>
    </row>
    <row r="57" spans="1:12">
      <c r="A57" s="3" t="str">
        <f t="shared" si="1"/>
        <v>P.R. China-tech</v>
      </c>
      <c r="B57" s="3" t="s">
        <v>61</v>
      </c>
      <c r="C57" s="3" t="s">
        <v>257</v>
      </c>
      <c r="D57" s="3" t="s">
        <v>329</v>
      </c>
      <c r="E57" s="3" t="str">
        <f t="shared" si="0"/>
        <v>US</v>
      </c>
      <c r="F57" s="3" t="s">
        <v>348</v>
      </c>
      <c r="G57" s="3" t="s">
        <v>122</v>
      </c>
      <c r="H57" s="4"/>
      <c r="I57" s="4"/>
      <c r="J57" s="4"/>
      <c r="K57" s="4"/>
      <c r="L57" s="4"/>
    </row>
    <row r="58" spans="1:12">
      <c r="A58" s="3" t="str">
        <f t="shared" si="1"/>
        <v>P.R. China-tech</v>
      </c>
      <c r="B58" s="3" t="s">
        <v>61</v>
      </c>
      <c r="C58" s="3" t="s">
        <v>257</v>
      </c>
      <c r="D58" s="3" t="s">
        <v>329</v>
      </c>
      <c r="E58" s="3" t="str">
        <f t="shared" si="0"/>
        <v>US</v>
      </c>
      <c r="F58" s="3" t="s">
        <v>347</v>
      </c>
      <c r="G58" s="3" t="s">
        <v>128</v>
      </c>
      <c r="H58" s="4"/>
      <c r="I58" s="4"/>
      <c r="J58" s="4"/>
      <c r="K58" s="4"/>
      <c r="L58" s="4"/>
    </row>
    <row r="59" spans="1:12">
      <c r="A59" s="3" t="str">
        <f t="shared" si="1"/>
        <v>P.R. China-tech</v>
      </c>
      <c r="B59" s="3" t="s">
        <v>61</v>
      </c>
      <c r="C59" s="3" t="s">
        <v>257</v>
      </c>
      <c r="D59" s="3" t="s">
        <v>329</v>
      </c>
      <c r="E59" s="3" t="str">
        <f t="shared" si="0"/>
        <v>US</v>
      </c>
      <c r="F59" s="3" t="s">
        <v>353</v>
      </c>
      <c r="G59" s="3" t="s">
        <v>125</v>
      </c>
      <c r="H59" s="4"/>
      <c r="I59" s="4"/>
      <c r="J59" s="4"/>
      <c r="K59" s="4"/>
      <c r="L59" s="4"/>
    </row>
    <row r="60" spans="1:12">
      <c r="A60" s="3" t="str">
        <f t="shared" si="1"/>
        <v>P.R. China-tech</v>
      </c>
      <c r="B60" s="3" t="s">
        <v>61</v>
      </c>
      <c r="C60" s="3" t="s">
        <v>257</v>
      </c>
      <c r="D60" s="3" t="s">
        <v>329</v>
      </c>
      <c r="E60" s="3" t="str">
        <f t="shared" si="0"/>
        <v>US</v>
      </c>
      <c r="F60" s="3" t="s">
        <v>381</v>
      </c>
      <c r="G60" s="3" t="s">
        <v>125</v>
      </c>
      <c r="H60" s="4"/>
      <c r="I60" s="4"/>
      <c r="J60" s="4"/>
      <c r="K60" s="4"/>
      <c r="L60" s="4"/>
    </row>
    <row r="61" spans="1:12">
      <c r="A61" s="3" t="str">
        <f t="shared" si="1"/>
        <v>P.R. China-tech</v>
      </c>
      <c r="B61" s="3" t="s">
        <v>61</v>
      </c>
      <c r="C61" s="3" t="s">
        <v>257</v>
      </c>
      <c r="D61" s="3" t="s">
        <v>329</v>
      </c>
      <c r="E61" s="3" t="str">
        <f t="shared" si="0"/>
        <v>US</v>
      </c>
      <c r="F61" s="3" t="s">
        <v>377</v>
      </c>
      <c r="G61" s="3" t="s">
        <v>121</v>
      </c>
      <c r="H61" s="4"/>
      <c r="I61" s="4"/>
      <c r="J61" s="4"/>
      <c r="K61" s="4"/>
      <c r="L61" s="4"/>
    </row>
    <row r="62" spans="1:12">
      <c r="A62" s="3" t="str">
        <f t="shared" si="1"/>
        <v>P.R. China-tech</v>
      </c>
      <c r="B62" s="3" t="s">
        <v>61</v>
      </c>
      <c r="C62" s="3" t="s">
        <v>257</v>
      </c>
      <c r="D62" s="3" t="s">
        <v>329</v>
      </c>
      <c r="E62" s="3" t="str">
        <f t="shared" si="0"/>
        <v>US</v>
      </c>
      <c r="F62" s="3" t="s">
        <v>385</v>
      </c>
      <c r="G62" s="3" t="s">
        <v>113</v>
      </c>
      <c r="H62" s="4"/>
      <c r="I62" s="4"/>
      <c r="J62" s="4"/>
      <c r="K62" s="4"/>
      <c r="L62" s="4"/>
    </row>
    <row r="63" spans="1:12">
      <c r="A63" s="3" t="str">
        <f t="shared" si="1"/>
        <v>P.R. China-tech</v>
      </c>
      <c r="B63" s="3" t="s">
        <v>61</v>
      </c>
      <c r="C63" s="3" t="s">
        <v>257</v>
      </c>
      <c r="D63" s="3" t="s">
        <v>329</v>
      </c>
      <c r="E63" s="3" t="str">
        <f t="shared" si="0"/>
        <v>US</v>
      </c>
      <c r="F63" s="3" t="s">
        <v>386</v>
      </c>
      <c r="G63" s="3" t="s">
        <v>80</v>
      </c>
      <c r="H63" s="4"/>
      <c r="I63" s="4"/>
      <c r="J63" s="4"/>
      <c r="K63" s="4"/>
      <c r="L63" s="4"/>
    </row>
    <row r="64" spans="1:12">
      <c r="A64" s="3" t="str">
        <f t="shared" si="1"/>
        <v>P.R. China-tech</v>
      </c>
      <c r="B64" s="3" t="s">
        <v>61</v>
      </c>
      <c r="C64" s="3" t="s">
        <v>257</v>
      </c>
      <c r="D64" s="3" t="s">
        <v>329</v>
      </c>
      <c r="E64" s="3" t="str">
        <f t="shared" si="0"/>
        <v>US</v>
      </c>
      <c r="F64" s="3" t="s">
        <v>371</v>
      </c>
      <c r="G64" s="3" t="s">
        <v>100</v>
      </c>
      <c r="H64" s="4"/>
      <c r="I64" s="4"/>
      <c r="J64" s="4"/>
      <c r="K64" s="4"/>
      <c r="L64" s="4"/>
    </row>
    <row r="65" spans="1:12">
      <c r="A65" s="3" t="str">
        <f t="shared" si="1"/>
        <v>P.R. China-tech</v>
      </c>
      <c r="B65" s="3" t="s">
        <v>61</v>
      </c>
      <c r="C65" s="3" t="s">
        <v>257</v>
      </c>
      <c r="D65" s="3" t="s">
        <v>329</v>
      </c>
      <c r="E65" s="3" t="str">
        <f t="shared" si="0"/>
        <v>US</v>
      </c>
      <c r="F65" s="3" t="s">
        <v>387</v>
      </c>
      <c r="G65" s="3" t="s">
        <v>100</v>
      </c>
      <c r="H65" s="4"/>
      <c r="I65" s="4"/>
      <c r="J65" s="4"/>
      <c r="K65" s="4"/>
      <c r="L65" s="4"/>
    </row>
    <row r="66" spans="1:12">
      <c r="A66" s="3" t="str">
        <f t="shared" si="1"/>
        <v>P.R. China-tech</v>
      </c>
      <c r="B66" s="3" t="s">
        <v>61</v>
      </c>
      <c r="C66" s="3" t="s">
        <v>257</v>
      </c>
      <c r="D66" s="3" t="s">
        <v>329</v>
      </c>
      <c r="E66" s="3" t="str">
        <f t="shared" ref="E66:E86" si="2">IF(OR(D66="Doubao Seed 2.0 Pro",D66="DeepSeek Reasoner V3.2"),"China","US")</f>
        <v>US</v>
      </c>
      <c r="F66" s="3" t="s">
        <v>359</v>
      </c>
      <c r="G66" s="3" t="s">
        <v>92</v>
      </c>
      <c r="H66" s="4"/>
      <c r="I66" s="4"/>
      <c r="J66" s="4"/>
      <c r="K66" s="4"/>
      <c r="L66" s="4"/>
    </row>
    <row r="67" spans="1:12">
      <c r="A67" s="3" t="str">
        <f t="shared" ref="A67:A112" si="3">C67&amp;"-"&amp;B67</f>
        <v>P.R. China-tech</v>
      </c>
      <c r="B67" s="3" t="s">
        <v>61</v>
      </c>
      <c r="C67" s="3" t="s">
        <v>257</v>
      </c>
      <c r="D67" s="3" t="s">
        <v>329</v>
      </c>
      <c r="E67" s="3" t="str">
        <f t="shared" si="2"/>
        <v>US</v>
      </c>
      <c r="F67" s="3" t="s">
        <v>369</v>
      </c>
      <c r="G67" s="3" t="s">
        <v>94</v>
      </c>
      <c r="H67" s="4"/>
      <c r="I67" s="4"/>
      <c r="J67" s="4"/>
      <c r="K67" s="4"/>
      <c r="L67" s="4"/>
    </row>
    <row r="68" spans="1:12">
      <c r="A68" s="3" t="str">
        <f t="shared" si="3"/>
        <v>P.R. China-tech</v>
      </c>
      <c r="B68" s="3" t="s">
        <v>61</v>
      </c>
      <c r="C68" s="3" t="s">
        <v>257</v>
      </c>
      <c r="D68" s="3" t="s">
        <v>329</v>
      </c>
      <c r="E68" s="3" t="str">
        <f t="shared" si="2"/>
        <v>US</v>
      </c>
      <c r="F68" s="3" t="s">
        <v>361</v>
      </c>
      <c r="G68" s="3" t="s">
        <v>113</v>
      </c>
      <c r="H68" s="4"/>
      <c r="I68" s="4"/>
      <c r="J68" s="4"/>
      <c r="K68" s="4"/>
      <c r="L68" s="4"/>
    </row>
    <row r="69" spans="1:12">
      <c r="A69" s="3" t="str">
        <f t="shared" si="3"/>
        <v>P.R. China-tech</v>
      </c>
      <c r="B69" s="3" t="s">
        <v>61</v>
      </c>
      <c r="C69" s="3" t="s">
        <v>257</v>
      </c>
      <c r="D69" s="3" t="s">
        <v>329</v>
      </c>
      <c r="E69" s="3" t="str">
        <f t="shared" si="2"/>
        <v>US</v>
      </c>
      <c r="F69" s="3" t="s">
        <v>388</v>
      </c>
      <c r="G69" s="3" t="s">
        <v>121</v>
      </c>
      <c r="H69" s="4"/>
      <c r="I69" s="4"/>
      <c r="J69" s="4"/>
      <c r="K69" s="4"/>
      <c r="L69" s="4"/>
    </row>
    <row r="70" spans="1:12">
      <c r="A70" s="3" t="str">
        <f t="shared" si="3"/>
        <v>P.R. China-tech</v>
      </c>
      <c r="B70" s="3" t="s">
        <v>61</v>
      </c>
      <c r="C70" s="3" t="s">
        <v>257</v>
      </c>
      <c r="D70" s="3" t="s">
        <v>329</v>
      </c>
      <c r="E70" s="3" t="str">
        <f t="shared" si="2"/>
        <v>US</v>
      </c>
      <c r="F70" s="3" t="s">
        <v>389</v>
      </c>
      <c r="G70" s="3" t="s">
        <v>124</v>
      </c>
      <c r="H70" s="4"/>
      <c r="I70" s="4"/>
      <c r="J70" s="4"/>
      <c r="K70" s="4"/>
      <c r="L70" s="4"/>
    </row>
    <row r="71" spans="1:12">
      <c r="A71" s="3" t="str">
        <f t="shared" si="3"/>
        <v>P.R. China-tech</v>
      </c>
      <c r="B71" s="3" t="s">
        <v>61</v>
      </c>
      <c r="C71" s="3" t="s">
        <v>257</v>
      </c>
      <c r="D71" s="3" t="s">
        <v>329</v>
      </c>
      <c r="E71" s="3" t="str">
        <f t="shared" si="2"/>
        <v>US</v>
      </c>
      <c r="F71" s="3" t="s">
        <v>390</v>
      </c>
      <c r="G71" s="3" t="s">
        <v>124</v>
      </c>
      <c r="H71" s="4"/>
      <c r="I71" s="4"/>
      <c r="J71" s="4"/>
      <c r="K71" s="4"/>
      <c r="L71" s="4"/>
    </row>
    <row r="72" spans="1:12">
      <c r="A72" s="3" t="str">
        <f t="shared" si="3"/>
        <v>P.R. China-tech</v>
      </c>
      <c r="B72" s="3" t="s">
        <v>61</v>
      </c>
      <c r="C72" s="3" t="s">
        <v>257</v>
      </c>
      <c r="D72" s="3" t="s">
        <v>329</v>
      </c>
      <c r="E72" s="3" t="str">
        <f t="shared" si="2"/>
        <v>US</v>
      </c>
      <c r="F72" s="3" t="s">
        <v>391</v>
      </c>
      <c r="G72" s="3" t="s">
        <v>113</v>
      </c>
      <c r="H72" s="4"/>
      <c r="I72" s="4"/>
      <c r="J72" s="4"/>
      <c r="K72" s="4"/>
      <c r="L72" s="4"/>
    </row>
    <row r="73" spans="1:12">
      <c r="A73" s="3" t="str">
        <f t="shared" si="3"/>
        <v>P.R. China-tech</v>
      </c>
      <c r="B73" s="3" t="s">
        <v>61</v>
      </c>
      <c r="C73" s="3" t="s">
        <v>257</v>
      </c>
      <c r="D73" s="3" t="s">
        <v>329</v>
      </c>
      <c r="E73" s="3" t="str">
        <f t="shared" si="2"/>
        <v>US</v>
      </c>
      <c r="F73" s="3" t="s">
        <v>392</v>
      </c>
      <c r="G73" s="3" t="s">
        <v>113</v>
      </c>
      <c r="H73" s="4"/>
      <c r="I73" s="4"/>
      <c r="J73" s="4"/>
      <c r="K73" s="4"/>
      <c r="L73" s="4"/>
    </row>
    <row r="74" spans="1:12">
      <c r="A74" s="3" t="str">
        <f t="shared" si="3"/>
        <v>P.R. China-tech</v>
      </c>
      <c r="B74" s="3" t="s">
        <v>61</v>
      </c>
      <c r="C74" s="3" t="s">
        <v>257</v>
      </c>
      <c r="D74" s="3" t="s">
        <v>329</v>
      </c>
      <c r="E74" s="3" t="str">
        <f t="shared" si="2"/>
        <v>US</v>
      </c>
      <c r="F74" s="3" t="s">
        <v>371</v>
      </c>
      <c r="G74" s="3" t="s">
        <v>100</v>
      </c>
      <c r="H74" s="4"/>
      <c r="I74" s="4"/>
      <c r="J74" s="4"/>
      <c r="K74" s="4"/>
      <c r="L74" s="4"/>
    </row>
    <row r="75" spans="1:12">
      <c r="A75" s="3" t="str">
        <f t="shared" si="3"/>
        <v>P.R. China-tech</v>
      </c>
      <c r="B75" s="3" t="s">
        <v>61</v>
      </c>
      <c r="C75" s="3" t="s">
        <v>257</v>
      </c>
      <c r="D75" s="3" t="s">
        <v>329</v>
      </c>
      <c r="E75" s="3" t="str">
        <f t="shared" si="2"/>
        <v>US</v>
      </c>
      <c r="F75" s="3" t="s">
        <v>384</v>
      </c>
      <c r="G75" s="3" t="s">
        <v>127</v>
      </c>
      <c r="H75" s="4"/>
      <c r="I75" s="4"/>
      <c r="J75" s="4"/>
      <c r="K75" s="4"/>
      <c r="L75" s="4"/>
    </row>
    <row r="76" spans="1:12">
      <c r="A76" s="3" t="str">
        <f t="shared" si="3"/>
        <v>P.R. China-tech</v>
      </c>
      <c r="B76" s="3" t="s">
        <v>61</v>
      </c>
      <c r="C76" s="3" t="s">
        <v>257</v>
      </c>
      <c r="D76" s="3" t="s">
        <v>329</v>
      </c>
      <c r="E76" s="3" t="str">
        <f t="shared" si="2"/>
        <v>US</v>
      </c>
      <c r="F76" s="3" t="s">
        <v>359</v>
      </c>
      <c r="G76" s="3" t="s">
        <v>92</v>
      </c>
      <c r="H76" s="4"/>
      <c r="I76" s="4"/>
      <c r="J76" s="4"/>
      <c r="K76" s="4"/>
      <c r="L76" s="4"/>
    </row>
    <row r="77" spans="1:12">
      <c r="A77" s="3" t="str">
        <f t="shared" si="3"/>
        <v>P.R. China-tech</v>
      </c>
      <c r="B77" s="3" t="s">
        <v>61</v>
      </c>
      <c r="C77" s="3" t="s">
        <v>257</v>
      </c>
      <c r="D77" s="3" t="s">
        <v>329</v>
      </c>
      <c r="E77" s="3" t="str">
        <f t="shared" si="2"/>
        <v>US</v>
      </c>
      <c r="F77" s="3" t="s">
        <v>393</v>
      </c>
      <c r="G77" s="3" t="s">
        <v>85</v>
      </c>
      <c r="H77" s="4"/>
      <c r="I77" s="4"/>
      <c r="J77" s="4"/>
      <c r="K77" s="4"/>
      <c r="L77" s="4"/>
    </row>
    <row r="78" spans="1:12">
      <c r="A78" s="3" t="str">
        <f t="shared" si="3"/>
        <v>P.R. China-tech</v>
      </c>
      <c r="B78" s="3" t="s">
        <v>61</v>
      </c>
      <c r="C78" s="3" t="s">
        <v>257</v>
      </c>
      <c r="D78" s="3" t="s">
        <v>329</v>
      </c>
      <c r="E78" s="3" t="str">
        <f t="shared" si="2"/>
        <v>US</v>
      </c>
      <c r="F78" s="3" t="s">
        <v>394</v>
      </c>
      <c r="G78" s="3" t="s">
        <v>85</v>
      </c>
      <c r="H78" s="4"/>
      <c r="I78" s="4"/>
      <c r="J78" s="4"/>
      <c r="K78" s="4"/>
      <c r="L78" s="4"/>
    </row>
    <row r="79" spans="1:12">
      <c r="A79" s="3" t="str">
        <f t="shared" si="3"/>
        <v>P.R. China-tech</v>
      </c>
      <c r="B79" s="3" t="s">
        <v>61</v>
      </c>
      <c r="C79" s="3" t="s">
        <v>257</v>
      </c>
      <c r="D79" s="3" t="s">
        <v>329</v>
      </c>
      <c r="E79" s="3" t="str">
        <f t="shared" si="2"/>
        <v>US</v>
      </c>
      <c r="F79" s="3" t="s">
        <v>395</v>
      </c>
      <c r="G79" s="3" t="s">
        <v>219</v>
      </c>
      <c r="H79" s="4"/>
      <c r="I79" s="4"/>
      <c r="J79" s="4"/>
      <c r="K79" s="4"/>
      <c r="L79" s="4"/>
    </row>
    <row r="80" spans="1:12">
      <c r="A80" s="3" t="str">
        <f t="shared" si="3"/>
        <v>P.R. China-tech</v>
      </c>
      <c r="B80" s="3" t="s">
        <v>61</v>
      </c>
      <c r="C80" s="3" t="s">
        <v>257</v>
      </c>
      <c r="D80" s="3" t="s">
        <v>329</v>
      </c>
      <c r="E80" s="3" t="str">
        <f t="shared" si="2"/>
        <v>US</v>
      </c>
      <c r="F80" s="3" t="s">
        <v>396</v>
      </c>
      <c r="G80" s="3" t="s">
        <v>123</v>
      </c>
      <c r="H80" s="4"/>
      <c r="I80" s="4"/>
      <c r="J80" s="4"/>
      <c r="K80" s="4"/>
      <c r="L80" s="4"/>
    </row>
    <row r="81" spans="1:12">
      <c r="A81" s="3" t="str">
        <f t="shared" si="3"/>
        <v>P.R. China-tech</v>
      </c>
      <c r="B81" s="3" t="s">
        <v>61</v>
      </c>
      <c r="C81" s="3" t="s">
        <v>257</v>
      </c>
      <c r="D81" s="3" t="s">
        <v>329</v>
      </c>
      <c r="E81" s="3" t="str">
        <f t="shared" si="2"/>
        <v>US</v>
      </c>
      <c r="F81" s="3" t="s">
        <v>392</v>
      </c>
      <c r="G81" s="3" t="s">
        <v>113</v>
      </c>
      <c r="H81" s="4"/>
      <c r="I81" s="4"/>
      <c r="J81" s="4"/>
      <c r="K81" s="4"/>
      <c r="L81" s="4"/>
    </row>
    <row r="82" spans="1:12">
      <c r="A82" s="3" t="str">
        <f t="shared" si="3"/>
        <v>P.R. China-tech</v>
      </c>
      <c r="B82" s="3" t="s">
        <v>61</v>
      </c>
      <c r="C82" s="3" t="s">
        <v>257</v>
      </c>
      <c r="D82" s="3" t="s">
        <v>329</v>
      </c>
      <c r="E82" s="3" t="str">
        <f t="shared" si="2"/>
        <v>US</v>
      </c>
      <c r="F82" s="3" t="s">
        <v>397</v>
      </c>
      <c r="G82" s="3" t="s">
        <v>58</v>
      </c>
      <c r="H82" s="4"/>
      <c r="I82" s="4"/>
      <c r="J82" s="4"/>
      <c r="K82" s="4"/>
      <c r="L82" s="4"/>
    </row>
    <row r="83" spans="1:12">
      <c r="A83" s="3" t="str">
        <f t="shared" si="3"/>
        <v>P.R. China-tech</v>
      </c>
      <c r="B83" s="3" t="s">
        <v>61</v>
      </c>
      <c r="C83" s="3" t="s">
        <v>257</v>
      </c>
      <c r="D83" s="3" t="s">
        <v>329</v>
      </c>
      <c r="E83" s="3" t="str">
        <f t="shared" si="2"/>
        <v>US</v>
      </c>
      <c r="F83" s="3" t="s">
        <v>398</v>
      </c>
      <c r="G83" s="3" t="s">
        <v>94</v>
      </c>
      <c r="H83" s="4"/>
      <c r="I83" s="4"/>
      <c r="J83" s="4"/>
      <c r="K83" s="4"/>
      <c r="L83" s="4"/>
    </row>
    <row r="84" spans="1:12">
      <c r="A84" s="3" t="str">
        <f t="shared" si="3"/>
        <v>P.R. China-tech</v>
      </c>
      <c r="B84" s="3" t="s">
        <v>61</v>
      </c>
      <c r="C84" s="3" t="s">
        <v>257</v>
      </c>
      <c r="D84" s="3" t="s">
        <v>329</v>
      </c>
      <c r="E84" s="3" t="str">
        <f t="shared" si="2"/>
        <v>US</v>
      </c>
      <c r="F84" s="3" t="s">
        <v>399</v>
      </c>
      <c r="G84" s="3" t="s">
        <v>211</v>
      </c>
      <c r="H84" s="4"/>
      <c r="I84" s="4"/>
      <c r="J84" s="4"/>
      <c r="K84" s="4"/>
      <c r="L84" s="4"/>
    </row>
    <row r="85" spans="1:12">
      <c r="A85" s="3" t="str">
        <f t="shared" si="3"/>
        <v>P.R. China-tech</v>
      </c>
      <c r="B85" s="3" t="s">
        <v>61</v>
      </c>
      <c r="C85" s="3" t="s">
        <v>257</v>
      </c>
      <c r="D85" s="3" t="s">
        <v>329</v>
      </c>
      <c r="E85" s="3" t="str">
        <f t="shared" si="2"/>
        <v>US</v>
      </c>
      <c r="F85" s="3" t="s">
        <v>400</v>
      </c>
      <c r="G85" s="3" t="s">
        <v>95</v>
      </c>
      <c r="H85" s="4"/>
      <c r="I85" s="4"/>
      <c r="J85" s="4"/>
      <c r="K85" s="4"/>
      <c r="L85" s="4"/>
    </row>
    <row r="86" spans="1:12">
      <c r="A86" s="3" t="str">
        <f t="shared" si="3"/>
        <v>P.R. China-tech</v>
      </c>
      <c r="B86" s="3" t="s">
        <v>61</v>
      </c>
      <c r="C86" s="3" t="s">
        <v>257</v>
      </c>
      <c r="D86" s="3" t="s">
        <v>329</v>
      </c>
      <c r="E86" s="3" t="str">
        <f t="shared" si="2"/>
        <v>US</v>
      </c>
      <c r="F86" s="3" t="s">
        <v>401</v>
      </c>
      <c r="G86" s="3" t="s">
        <v>131</v>
      </c>
      <c r="H86" s="4"/>
      <c r="I86" s="4"/>
      <c r="J86" s="4"/>
      <c r="K86" s="4"/>
      <c r="L86" s="4"/>
    </row>
    <row r="87" spans="1:12">
      <c r="A87" s="3" t="str">
        <f t="shared" si="3"/>
        <v>P.R. China-tech</v>
      </c>
      <c r="B87" s="3" t="s">
        <v>61</v>
      </c>
      <c r="C87" s="3" t="s">
        <v>257</v>
      </c>
      <c r="D87" s="4" t="s">
        <v>197</v>
      </c>
      <c r="E87" s="4"/>
      <c r="F87" s="4"/>
      <c r="G87" s="12" t="s">
        <v>131</v>
      </c>
      <c r="H87" s="12" t="s">
        <v>217</v>
      </c>
      <c r="I87" s="3">
        <v>84182</v>
      </c>
      <c r="J87" s="3" t="s">
        <v>48</v>
      </c>
      <c r="K87" s="3"/>
      <c r="L87" s="3"/>
    </row>
    <row r="88" spans="1:12">
      <c r="A88" s="3" t="str">
        <f t="shared" si="3"/>
        <v>P.R. China-tech</v>
      </c>
      <c r="B88" s="3" t="s">
        <v>61</v>
      </c>
      <c r="C88" s="3" t="s">
        <v>257</v>
      </c>
      <c r="D88" s="4"/>
      <c r="E88" s="4"/>
      <c r="F88" s="4"/>
      <c r="G88" s="3" t="s">
        <v>128</v>
      </c>
      <c r="H88" s="3">
        <v>1</v>
      </c>
      <c r="I88" s="3" t="s">
        <v>197</v>
      </c>
      <c r="J88" s="3"/>
      <c r="K88" s="3" t="s">
        <v>24</v>
      </c>
      <c r="L88" s="3" t="s">
        <v>25</v>
      </c>
    </row>
    <row r="89" spans="1:12">
      <c r="A89" s="3" t="str">
        <f t="shared" si="3"/>
        <v>P.R. China-tech</v>
      </c>
      <c r="B89" s="3" t="s">
        <v>61</v>
      </c>
      <c r="C89" s="3" t="s">
        <v>257</v>
      </c>
      <c r="D89" s="4"/>
      <c r="E89" s="4"/>
      <c r="F89" s="4"/>
      <c r="G89" s="3" t="s">
        <v>127</v>
      </c>
      <c r="H89" s="3">
        <v>1</v>
      </c>
      <c r="I89" s="3" t="s">
        <v>197</v>
      </c>
      <c r="J89" s="3"/>
      <c r="K89" s="3" t="s">
        <v>24</v>
      </c>
      <c r="L89" s="3" t="s">
        <v>55</v>
      </c>
    </row>
    <row r="90" spans="1:12">
      <c r="A90" s="3" t="str">
        <f t="shared" si="3"/>
        <v>P.R. China-tech</v>
      </c>
      <c r="B90" s="3" t="s">
        <v>61</v>
      </c>
      <c r="C90" s="3" t="s">
        <v>257</v>
      </c>
      <c r="D90" s="4"/>
      <c r="E90" s="4"/>
      <c r="F90" s="4"/>
      <c r="G90" s="3" t="s">
        <v>218</v>
      </c>
      <c r="H90" s="3">
        <v>1</v>
      </c>
      <c r="I90" s="3" t="s">
        <v>197</v>
      </c>
      <c r="J90" s="3"/>
      <c r="K90" s="3" t="s">
        <v>199</v>
      </c>
      <c r="L90" s="3" t="s">
        <v>200</v>
      </c>
    </row>
    <row r="91" spans="1:12">
      <c r="A91" s="3" t="str">
        <f t="shared" si="3"/>
        <v>P.R. China-tech</v>
      </c>
      <c r="B91" s="3" t="s">
        <v>61</v>
      </c>
      <c r="C91" s="3" t="s">
        <v>257</v>
      </c>
      <c r="D91" s="4"/>
      <c r="E91" s="4"/>
      <c r="F91" s="4"/>
      <c r="G91" s="3" t="s">
        <v>125</v>
      </c>
      <c r="H91" s="3">
        <v>1</v>
      </c>
      <c r="I91" s="3" t="s">
        <v>197</v>
      </c>
      <c r="J91" s="3"/>
      <c r="K91" s="3" t="s">
        <v>24</v>
      </c>
      <c r="L91" s="3" t="s">
        <v>25</v>
      </c>
    </row>
    <row r="92" spans="1:12">
      <c r="A92" s="3" t="str">
        <f t="shared" si="3"/>
        <v>P.R. China-tech</v>
      </c>
      <c r="B92" s="3" t="s">
        <v>61</v>
      </c>
      <c r="C92" s="3" t="s">
        <v>257</v>
      </c>
      <c r="D92" s="4"/>
      <c r="E92" s="4"/>
      <c r="F92" s="4"/>
      <c r="G92" s="3" t="s">
        <v>124</v>
      </c>
      <c r="H92" s="3">
        <v>1</v>
      </c>
      <c r="I92" s="3" t="s">
        <v>197</v>
      </c>
      <c r="J92" s="3"/>
      <c r="K92" s="3" t="s">
        <v>199</v>
      </c>
      <c r="L92" s="3" t="s">
        <v>200</v>
      </c>
    </row>
    <row r="93" spans="1:12">
      <c r="A93" s="3" t="str">
        <f t="shared" si="3"/>
        <v>P.R. China-tech</v>
      </c>
      <c r="B93" s="3" t="s">
        <v>61</v>
      </c>
      <c r="C93" s="3" t="s">
        <v>257</v>
      </c>
      <c r="D93" s="4"/>
      <c r="E93" s="4"/>
      <c r="F93" s="4"/>
      <c r="G93" s="3" t="s">
        <v>123</v>
      </c>
      <c r="H93" s="3">
        <v>1</v>
      </c>
      <c r="I93" s="3" t="s">
        <v>197</v>
      </c>
      <c r="J93" s="3"/>
      <c r="K93" s="3" t="s">
        <v>199</v>
      </c>
      <c r="L93" s="3" t="s">
        <v>200</v>
      </c>
    </row>
    <row r="94" spans="1:12">
      <c r="A94" s="3" t="str">
        <f t="shared" si="3"/>
        <v>P.R. China-tech</v>
      </c>
      <c r="B94" s="3" t="s">
        <v>61</v>
      </c>
      <c r="C94" s="3" t="s">
        <v>257</v>
      </c>
      <c r="D94" s="4"/>
      <c r="E94" s="4"/>
      <c r="F94" s="4"/>
      <c r="G94" s="3" t="s">
        <v>219</v>
      </c>
      <c r="H94" s="3">
        <v>1</v>
      </c>
      <c r="I94" s="3" t="s">
        <v>197</v>
      </c>
      <c r="J94" s="3"/>
      <c r="K94" s="3" t="s">
        <v>199</v>
      </c>
      <c r="L94" s="3" t="s">
        <v>200</v>
      </c>
    </row>
    <row r="95" spans="1:12">
      <c r="A95" s="3" t="str">
        <f t="shared" si="3"/>
        <v>P.R. China-tech</v>
      </c>
      <c r="B95" s="3" t="s">
        <v>61</v>
      </c>
      <c r="C95" s="3" t="s">
        <v>257</v>
      </c>
      <c r="D95" s="4"/>
      <c r="E95" s="4"/>
      <c r="F95" s="4"/>
      <c r="G95" s="3" t="s">
        <v>122</v>
      </c>
      <c r="H95" s="3">
        <v>1</v>
      </c>
      <c r="I95" s="3" t="s">
        <v>197</v>
      </c>
      <c r="J95" s="3"/>
      <c r="K95" s="3" t="s">
        <v>24</v>
      </c>
      <c r="L95" s="3" t="s">
        <v>25</v>
      </c>
    </row>
    <row r="96" spans="1:12">
      <c r="A96" s="3" t="str">
        <f t="shared" si="3"/>
        <v>P.R. China-tech</v>
      </c>
      <c r="B96" s="3" t="s">
        <v>61</v>
      </c>
      <c r="C96" s="3" t="s">
        <v>257</v>
      </c>
      <c r="D96" s="4"/>
      <c r="E96" s="4"/>
      <c r="F96" s="4"/>
      <c r="G96" s="3" t="s">
        <v>121</v>
      </c>
      <c r="H96" s="3">
        <v>1</v>
      </c>
      <c r="I96" s="3" t="s">
        <v>197</v>
      </c>
      <c r="J96" s="3"/>
      <c r="K96" s="3" t="s">
        <v>24</v>
      </c>
      <c r="L96" s="3" t="s">
        <v>25</v>
      </c>
    </row>
    <row r="97" spans="1:12">
      <c r="A97" s="3" t="str">
        <f t="shared" si="3"/>
        <v>P.R. China-tech</v>
      </c>
      <c r="B97" s="3" t="s">
        <v>61</v>
      </c>
      <c r="C97" s="3" t="s">
        <v>257</v>
      </c>
      <c r="D97" s="4"/>
      <c r="E97" s="4"/>
      <c r="F97" s="4"/>
      <c r="G97" s="3" t="s">
        <v>118</v>
      </c>
      <c r="H97" s="3">
        <v>1</v>
      </c>
      <c r="I97" s="3" t="s">
        <v>197</v>
      </c>
      <c r="J97" s="3"/>
      <c r="K97" s="3" t="s">
        <v>199</v>
      </c>
      <c r="L97" s="3" t="s">
        <v>200</v>
      </c>
    </row>
    <row r="98" spans="1:12">
      <c r="A98" s="3" t="str">
        <f t="shared" si="3"/>
        <v>P.R. China-tech</v>
      </c>
      <c r="B98" s="3" t="s">
        <v>61</v>
      </c>
      <c r="C98" s="3" t="s">
        <v>257</v>
      </c>
      <c r="D98" s="4"/>
      <c r="E98" s="4"/>
      <c r="F98" s="4"/>
      <c r="G98" s="3" t="s">
        <v>220</v>
      </c>
      <c r="H98" s="3">
        <v>1</v>
      </c>
      <c r="I98" s="3" t="s">
        <v>197</v>
      </c>
      <c r="J98" s="3"/>
      <c r="K98" s="3" t="s">
        <v>199</v>
      </c>
      <c r="L98" s="3" t="s">
        <v>200</v>
      </c>
    </row>
    <row r="99" spans="1:12">
      <c r="A99" s="3" t="str">
        <f t="shared" si="3"/>
        <v>P.R. China-tech</v>
      </c>
      <c r="B99" s="3" t="s">
        <v>61</v>
      </c>
      <c r="C99" s="3" t="s">
        <v>257</v>
      </c>
      <c r="D99" s="4"/>
      <c r="E99" s="4"/>
      <c r="F99" s="4"/>
      <c r="G99" s="3" t="s">
        <v>204</v>
      </c>
      <c r="H99" s="3">
        <v>1</v>
      </c>
      <c r="I99" s="3" t="s">
        <v>197</v>
      </c>
      <c r="J99" s="3"/>
      <c r="K99" s="3" t="s">
        <v>199</v>
      </c>
      <c r="L99" s="3" t="s">
        <v>200</v>
      </c>
    </row>
    <row r="100" spans="1:12">
      <c r="A100" s="3" t="str">
        <f t="shared" si="3"/>
        <v>P.R. China-tech</v>
      </c>
      <c r="B100" s="3" t="s">
        <v>61</v>
      </c>
      <c r="C100" s="3" t="s">
        <v>257</v>
      </c>
      <c r="D100" s="4"/>
      <c r="E100" s="4"/>
      <c r="F100" s="4"/>
      <c r="G100" s="3" t="s">
        <v>113</v>
      </c>
      <c r="H100" s="3">
        <v>1</v>
      </c>
      <c r="I100" s="3" t="s">
        <v>197</v>
      </c>
      <c r="J100" s="3"/>
      <c r="K100" s="3" t="s">
        <v>24</v>
      </c>
      <c r="L100" s="3" t="s">
        <v>25</v>
      </c>
    </row>
    <row r="101" spans="1:12">
      <c r="A101" s="3" t="str">
        <f t="shared" si="3"/>
        <v>P.R. China-tech</v>
      </c>
      <c r="B101" s="3" t="s">
        <v>61</v>
      </c>
      <c r="C101" s="3" t="s">
        <v>257</v>
      </c>
      <c r="D101" s="4"/>
      <c r="E101" s="4"/>
      <c r="F101" s="4"/>
      <c r="G101" s="3" t="s">
        <v>108</v>
      </c>
      <c r="H101" s="3">
        <v>1</v>
      </c>
      <c r="I101" s="3" t="s">
        <v>197</v>
      </c>
      <c r="J101" s="3"/>
      <c r="K101" s="3" t="s">
        <v>199</v>
      </c>
      <c r="L101" s="3" t="s">
        <v>200</v>
      </c>
    </row>
    <row r="102" spans="1:12">
      <c r="A102" s="3" t="str">
        <f t="shared" si="3"/>
        <v>P.R. China-tech</v>
      </c>
      <c r="B102" s="3" t="s">
        <v>61</v>
      </c>
      <c r="C102" s="3" t="s">
        <v>257</v>
      </c>
      <c r="D102" s="4"/>
      <c r="E102" s="4"/>
      <c r="F102" s="4"/>
      <c r="G102" s="3" t="s">
        <v>107</v>
      </c>
      <c r="H102" s="3">
        <v>1</v>
      </c>
      <c r="I102" s="3" t="s">
        <v>197</v>
      </c>
      <c r="J102" s="3"/>
      <c r="K102" s="3" t="s">
        <v>199</v>
      </c>
      <c r="L102" s="3" t="s">
        <v>200</v>
      </c>
    </row>
    <row r="103" spans="1:12">
      <c r="A103" s="3" t="str">
        <f t="shared" si="3"/>
        <v>P.R. China-tech</v>
      </c>
      <c r="B103" s="3" t="s">
        <v>61</v>
      </c>
      <c r="C103" s="3" t="s">
        <v>257</v>
      </c>
      <c r="D103" s="4"/>
      <c r="E103" s="4"/>
      <c r="F103" s="4"/>
      <c r="G103" s="3" t="s">
        <v>221</v>
      </c>
      <c r="H103" s="3">
        <v>1</v>
      </c>
      <c r="I103" s="3" t="s">
        <v>197</v>
      </c>
      <c r="J103" s="3"/>
      <c r="K103" s="3" t="s">
        <v>199</v>
      </c>
      <c r="L103" s="3" t="s">
        <v>200</v>
      </c>
    </row>
    <row r="104" spans="1:12">
      <c r="A104" s="3" t="str">
        <f t="shared" si="3"/>
        <v>P.R. China-tech</v>
      </c>
      <c r="B104" s="3" t="s">
        <v>61</v>
      </c>
      <c r="C104" s="3" t="s">
        <v>257</v>
      </c>
      <c r="D104" s="4"/>
      <c r="E104" s="4"/>
      <c r="F104" s="4"/>
      <c r="G104" s="3" t="s">
        <v>100</v>
      </c>
      <c r="H104" s="3">
        <v>1</v>
      </c>
      <c r="I104" s="3" t="s">
        <v>197</v>
      </c>
      <c r="J104" s="3"/>
      <c r="K104" s="3" t="s">
        <v>24</v>
      </c>
      <c r="L104" s="3" t="s">
        <v>25</v>
      </c>
    </row>
    <row r="105" spans="1:12">
      <c r="A105" s="3" t="str">
        <f t="shared" si="3"/>
        <v>P.R. China-tech</v>
      </c>
      <c r="B105" s="3" t="s">
        <v>61</v>
      </c>
      <c r="C105" s="3" t="s">
        <v>257</v>
      </c>
      <c r="D105" s="4"/>
      <c r="E105" s="4"/>
      <c r="F105" s="4"/>
      <c r="G105" s="12" t="s">
        <v>95</v>
      </c>
      <c r="H105" s="12" t="s">
        <v>217</v>
      </c>
      <c r="I105" s="3">
        <v>44172</v>
      </c>
      <c r="J105" s="3" t="s">
        <v>48</v>
      </c>
      <c r="K105" s="3"/>
      <c r="L105" s="3"/>
    </row>
    <row r="106" spans="1:12">
      <c r="A106" s="3" t="str">
        <f t="shared" si="3"/>
        <v>P.R. China-tech</v>
      </c>
      <c r="B106" s="3" t="s">
        <v>61</v>
      </c>
      <c r="C106" s="3" t="s">
        <v>257</v>
      </c>
      <c r="D106" s="4"/>
      <c r="E106" s="4"/>
      <c r="F106" s="4"/>
      <c r="G106" s="3" t="s">
        <v>94</v>
      </c>
      <c r="H106" s="3">
        <v>1</v>
      </c>
      <c r="I106" s="3" t="s">
        <v>197</v>
      </c>
      <c r="J106" s="3"/>
      <c r="K106" s="3" t="s">
        <v>24</v>
      </c>
      <c r="L106" s="3" t="s">
        <v>55</v>
      </c>
    </row>
    <row r="107" spans="1:12">
      <c r="A107" s="3" t="str">
        <f t="shared" si="3"/>
        <v>P.R. China-tech</v>
      </c>
      <c r="B107" s="3" t="s">
        <v>61</v>
      </c>
      <c r="C107" s="3" t="s">
        <v>257</v>
      </c>
      <c r="D107" s="4"/>
      <c r="E107" s="4"/>
      <c r="F107" s="4"/>
      <c r="G107" s="3" t="s">
        <v>92</v>
      </c>
      <c r="H107" s="3">
        <v>1</v>
      </c>
      <c r="I107" s="3" t="s">
        <v>197</v>
      </c>
      <c r="J107" s="3"/>
      <c r="K107" s="3" t="s">
        <v>24</v>
      </c>
      <c r="L107" s="3" t="s">
        <v>55</v>
      </c>
    </row>
    <row r="108" spans="1:12">
      <c r="A108" s="3" t="str">
        <f t="shared" si="3"/>
        <v>P.R. China-tech</v>
      </c>
      <c r="B108" s="3" t="s">
        <v>61</v>
      </c>
      <c r="C108" s="3" t="s">
        <v>257</v>
      </c>
      <c r="D108" s="4"/>
      <c r="E108" s="4"/>
      <c r="F108" s="4"/>
      <c r="G108" s="3" t="s">
        <v>85</v>
      </c>
      <c r="H108" s="3">
        <v>1</v>
      </c>
      <c r="I108" s="3" t="s">
        <v>197</v>
      </c>
      <c r="J108" s="3"/>
      <c r="K108" s="3" t="s">
        <v>199</v>
      </c>
      <c r="L108" s="3" t="s">
        <v>200</v>
      </c>
    </row>
    <row r="109" spans="1:12">
      <c r="A109" s="3" t="str">
        <f t="shared" si="3"/>
        <v>P.R. China-tech</v>
      </c>
      <c r="B109" s="3" t="s">
        <v>61</v>
      </c>
      <c r="C109" s="3" t="s">
        <v>257</v>
      </c>
      <c r="D109" s="4"/>
      <c r="E109" s="4"/>
      <c r="F109" s="4"/>
      <c r="G109" s="12" t="s">
        <v>80</v>
      </c>
      <c r="H109" s="12" t="s">
        <v>217</v>
      </c>
      <c r="I109" s="3">
        <v>29792</v>
      </c>
      <c r="J109" s="3" t="s">
        <v>48</v>
      </c>
      <c r="K109" s="3"/>
      <c r="L109" s="3"/>
    </row>
    <row r="110" spans="1:12">
      <c r="A110" s="3" t="str">
        <f t="shared" si="3"/>
        <v>P.R. China-tech</v>
      </c>
      <c r="B110" s="3" t="s">
        <v>61</v>
      </c>
      <c r="C110" s="3" t="s">
        <v>257</v>
      </c>
      <c r="D110" s="4"/>
      <c r="E110" s="4"/>
      <c r="F110" s="4"/>
      <c r="G110" s="3" t="s">
        <v>211</v>
      </c>
      <c r="H110" s="3">
        <v>1</v>
      </c>
      <c r="I110" s="3" t="s">
        <v>197</v>
      </c>
      <c r="J110" s="3"/>
      <c r="K110" s="3" t="s">
        <v>199</v>
      </c>
      <c r="L110" s="3" t="s">
        <v>200</v>
      </c>
    </row>
    <row r="111" spans="1:12">
      <c r="A111" s="3" t="str">
        <f t="shared" si="3"/>
        <v>P.R. China-tech</v>
      </c>
      <c r="B111" s="3" t="s">
        <v>61</v>
      </c>
      <c r="C111" s="3" t="s">
        <v>257</v>
      </c>
      <c r="D111" s="4"/>
      <c r="E111" s="4"/>
      <c r="F111" s="4"/>
      <c r="G111" s="3" t="s">
        <v>58</v>
      </c>
      <c r="H111" s="3">
        <v>1</v>
      </c>
      <c r="I111" s="3" t="s">
        <v>197</v>
      </c>
      <c r="J111" s="3"/>
      <c r="K111" s="3" t="s">
        <v>199</v>
      </c>
      <c r="L111" s="3" t="s">
        <v>200</v>
      </c>
    </row>
    <row r="112" spans="1:12">
      <c r="A112" s="3" t="str">
        <f t="shared" si="3"/>
        <v>P.R. China-tech</v>
      </c>
      <c r="B112" s="3" t="s">
        <v>61</v>
      </c>
      <c r="C112" s="3" t="s">
        <v>257</v>
      </c>
      <c r="D112" s="4"/>
      <c r="E112" s="4"/>
      <c r="F112" s="4"/>
      <c r="G112" s="3" t="s">
        <v>209</v>
      </c>
      <c r="H112" s="3">
        <v>1</v>
      </c>
      <c r="I112" s="3" t="s">
        <v>197</v>
      </c>
      <c r="J112" s="3"/>
      <c r="K112" s="3" t="s">
        <v>199</v>
      </c>
      <c r="L112" s="3" t="s">
        <v>200</v>
      </c>
    </row>
    <row r="117" ht="32" customHeight="1"/>
  </sheetData>
  <autoFilter xmlns:etc="http://www.wps.cn/officeDocument/2017/etCustomData" ref="A1:L112" etc:filterBottomFollowUsedRange="0">
    <extLst/>
  </autoFilter>
  <mergeCells count="2">
    <mergeCell ref="H3:L86"/>
    <mergeCell ref="D87:F112"/>
  </mergeCells>
  <dataValidations count="6">
    <dataValidation allowBlank="1" showInputMessage="1" showErrorMessage="1" promptTitle="注意，此处是初步标签" prompt="注意，此处是初步标签" sqref="F1 F3:F1048576"/>
    <dataValidation allowBlank="1" showInputMessage="1" showErrorMessage="1" promptTitle="注意，这个是研判后标签" prompt="注意，这个是研判后标签" sqref="G1 G3:G86 G113:G1048576"/>
    <dataValidation type="list" allowBlank="1" showInputMessage="1" showErrorMessage="1" sqref="B3:B1048576">
      <formula1>"user,worker,tech,gov"</formula1>
    </dataValidation>
    <dataValidation type="list" allowBlank="1" showInputMessage="1" showErrorMessage="1" sqref="C3:C1048576">
      <formula1>"P.R. China,United States,European Union,Kenya"</formula1>
    </dataValidation>
    <dataValidation type="list" allowBlank="1" showInputMessage="1" showErrorMessage="1" sqref="D3:D86 D113:D1048576">
      <formula1>"DeepSeek Reasoner V3.2,OpenAI ChatGPT 5.4 Pro,Google Gemini 3.1 Pro Preview,Doubao Seed 2.0 Pro"</formula1>
    </dataValidation>
    <dataValidation type="list" allowBlank="1" showInputMessage="1" showErrorMessage="1" sqref="L3:L1048576">
      <formula1>"1(4/4),0.75(3/4),0.6(2/4+votepass),0.4(2/4+votedenied),0.25(1/4)"</formula1>
    </dataValidation>
  </dataValidations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9"/>
  <sheetViews>
    <sheetView zoomScale="82" zoomScaleNormal="82" workbookViewId="0">
      <pane ySplit="2" topLeftCell="A3" activePane="bottomLeft" state="frozen"/>
      <selection/>
      <selection pane="bottomLeft" activeCell="G71" sqref="F3:G71"/>
    </sheetView>
  </sheetViews>
  <sheetFormatPr defaultColWidth="8.61261261261261" defaultRowHeight="14.1"/>
  <cols>
    <col min="1" max="1" width="20.7117117117117" customWidth="1"/>
    <col min="2" max="2" width="11.7027027027027" customWidth="1"/>
    <col min="3" max="3" width="19.5495495495495" customWidth="1"/>
    <col min="4" max="4" width="25.1621621621622" customWidth="1"/>
    <col min="5" max="5" width="12.8558558558559" customWidth="1"/>
    <col min="6" max="6" width="24.7297297297297" customWidth="1"/>
    <col min="7" max="7" width="34.0810810810811" customWidth="1"/>
    <col min="8" max="8" width="11.7027027027027" customWidth="1"/>
    <col min="9" max="9" width="13.9369369369369" customWidth="1"/>
    <col min="10" max="10" width="11.7027027027027" customWidth="1"/>
    <col min="11" max="11" width="20.7117117117117" customWidth="1"/>
    <col min="12" max="12" width="17.3243243243243" customWidth="1"/>
  </cols>
  <sheetData>
    <row r="1" spans="1:12">
      <c r="A1" t="s">
        <v>6</v>
      </c>
      <c r="B1" t="s">
        <v>266</v>
      </c>
      <c r="C1" t="s">
        <v>267</v>
      </c>
      <c r="D1" t="s">
        <v>268</v>
      </c>
      <c r="E1" t="s">
        <v>269</v>
      </c>
      <c r="F1" t="s">
        <v>270</v>
      </c>
      <c r="G1" t="s">
        <v>271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  <row r="2" spans="1:12">
      <c r="A2" t="s">
        <v>272</v>
      </c>
      <c r="B2" t="s">
        <v>272</v>
      </c>
      <c r="C2" t="s">
        <v>272</v>
      </c>
      <c r="D2" t="s">
        <v>272</v>
      </c>
      <c r="E2" t="str">
        <f t="shared" ref="E2:E65" si="0">IF(OR(D2="Doubao Seed 2.0 Pro",D2="DeepSeek Reasoner V3.2"),"China","US")</f>
        <v>US</v>
      </c>
      <c r="F2" t="s">
        <v>272</v>
      </c>
      <c r="G2" t="s">
        <v>272</v>
      </c>
      <c r="H2" t="s">
        <v>272</v>
      </c>
      <c r="I2">
        <f ca="1">RANDBETWEEN(10000,99999)</f>
        <v>68310</v>
      </c>
      <c r="J2" t="str">
        <f ca="1">IF(MOD(I2,2)=0,"China-backup","US-backup")</f>
        <v>China-backup</v>
      </c>
      <c r="K2" t="s">
        <v>272</v>
      </c>
      <c r="L2" t="s">
        <v>272</v>
      </c>
    </row>
    <row r="3" spans="1:12">
      <c r="A3" t="str">
        <f t="shared" ref="A3:A66" si="1">C3&amp;"-"&amp;B3</f>
        <v>P.R. China-worker</v>
      </c>
      <c r="B3" t="s">
        <v>36</v>
      </c>
      <c r="C3" t="s">
        <v>257</v>
      </c>
      <c r="D3" t="s">
        <v>273</v>
      </c>
      <c r="E3" t="str">
        <f t="shared" si="0"/>
        <v>China</v>
      </c>
      <c r="F3" t="s">
        <v>347</v>
      </c>
      <c r="G3" t="s">
        <v>128</v>
      </c>
      <c r="H3" s="4" t="s">
        <v>197</v>
      </c>
      <c r="I3" s="4"/>
      <c r="J3" s="4"/>
      <c r="K3" s="4"/>
      <c r="L3" s="4"/>
    </row>
    <row r="4" ht="11" customHeight="1" spans="1:12">
      <c r="A4" t="str">
        <f t="shared" si="1"/>
        <v>P.R. China-worker</v>
      </c>
      <c r="B4" t="s">
        <v>36</v>
      </c>
      <c r="C4" t="s">
        <v>257</v>
      </c>
      <c r="D4" t="s">
        <v>273</v>
      </c>
      <c r="E4" t="str">
        <f t="shared" si="0"/>
        <v>China</v>
      </c>
      <c r="F4" t="s">
        <v>348</v>
      </c>
      <c r="G4" t="s">
        <v>122</v>
      </c>
      <c r="H4" s="4"/>
      <c r="I4" s="4"/>
      <c r="J4" s="4"/>
      <c r="K4" s="4"/>
      <c r="L4" s="4"/>
    </row>
    <row r="5" spans="1:12">
      <c r="A5" t="str">
        <f t="shared" si="1"/>
        <v>P.R. China-worker</v>
      </c>
      <c r="B5" t="s">
        <v>36</v>
      </c>
      <c r="C5" t="s">
        <v>257</v>
      </c>
      <c r="D5" t="s">
        <v>273</v>
      </c>
      <c r="E5" t="str">
        <f t="shared" si="0"/>
        <v>China</v>
      </c>
      <c r="F5" t="s">
        <v>278</v>
      </c>
      <c r="G5" t="s">
        <v>80</v>
      </c>
      <c r="H5" s="4"/>
      <c r="I5" s="4"/>
      <c r="J5" s="4"/>
      <c r="K5" s="4"/>
      <c r="L5" s="4"/>
    </row>
    <row r="6" spans="1:12">
      <c r="A6" t="str">
        <f t="shared" si="1"/>
        <v>P.R. China-worker</v>
      </c>
      <c r="B6" t="s">
        <v>36</v>
      </c>
      <c r="C6" t="s">
        <v>257</v>
      </c>
      <c r="D6" t="s">
        <v>273</v>
      </c>
      <c r="E6" t="str">
        <f t="shared" si="0"/>
        <v>China</v>
      </c>
      <c r="F6" t="s">
        <v>353</v>
      </c>
      <c r="G6" t="s">
        <v>125</v>
      </c>
      <c r="H6" s="4"/>
      <c r="I6" s="4"/>
      <c r="J6" s="4"/>
      <c r="K6" s="4"/>
      <c r="L6" s="4"/>
    </row>
    <row r="7" spans="1:12">
      <c r="A7" t="str">
        <f t="shared" si="1"/>
        <v>P.R. China-worker</v>
      </c>
      <c r="B7" t="s">
        <v>36</v>
      </c>
      <c r="C7" t="s">
        <v>257</v>
      </c>
      <c r="D7" t="s">
        <v>273</v>
      </c>
      <c r="E7" t="str">
        <f t="shared" si="0"/>
        <v>China</v>
      </c>
      <c r="F7" t="s">
        <v>346</v>
      </c>
      <c r="G7" t="s">
        <v>100</v>
      </c>
      <c r="H7" s="4"/>
      <c r="I7" s="4"/>
      <c r="J7" s="4"/>
      <c r="K7" s="4"/>
      <c r="L7" s="4"/>
    </row>
    <row r="8" spans="1:12">
      <c r="A8" t="str">
        <f t="shared" si="1"/>
        <v>P.R. China-worker</v>
      </c>
      <c r="B8" t="s">
        <v>36</v>
      </c>
      <c r="C8" t="s">
        <v>257</v>
      </c>
      <c r="D8" t="s">
        <v>273</v>
      </c>
      <c r="E8" t="str">
        <f t="shared" si="0"/>
        <v>China</v>
      </c>
      <c r="F8" t="s">
        <v>285</v>
      </c>
      <c r="G8" t="s">
        <v>113</v>
      </c>
      <c r="H8" s="4"/>
      <c r="I8" s="4"/>
      <c r="J8" s="4"/>
      <c r="K8" s="4"/>
      <c r="L8" s="4"/>
    </row>
    <row r="9" spans="1:12">
      <c r="A9" t="str">
        <f t="shared" si="1"/>
        <v>P.R. China-worker</v>
      </c>
      <c r="B9" t="s">
        <v>36</v>
      </c>
      <c r="C9" t="s">
        <v>257</v>
      </c>
      <c r="D9" t="s">
        <v>273</v>
      </c>
      <c r="E9" t="str">
        <f t="shared" si="0"/>
        <v>China</v>
      </c>
      <c r="F9" t="s">
        <v>361</v>
      </c>
      <c r="G9" t="s">
        <v>113</v>
      </c>
      <c r="H9" s="4"/>
      <c r="I9" s="4"/>
      <c r="J9" s="4"/>
      <c r="K9" s="4"/>
      <c r="L9" s="4"/>
    </row>
    <row r="10" spans="1:12">
      <c r="A10" t="str">
        <f t="shared" si="1"/>
        <v>P.R. China-worker</v>
      </c>
      <c r="B10" t="s">
        <v>36</v>
      </c>
      <c r="C10" t="s">
        <v>257</v>
      </c>
      <c r="D10" t="s">
        <v>273</v>
      </c>
      <c r="E10" t="str">
        <f t="shared" si="0"/>
        <v>China</v>
      </c>
      <c r="F10" t="s">
        <v>330</v>
      </c>
      <c r="G10" t="s">
        <v>108</v>
      </c>
      <c r="H10" s="4"/>
      <c r="I10" s="4"/>
      <c r="J10" s="4"/>
      <c r="K10" s="4"/>
      <c r="L10" s="4"/>
    </row>
    <row r="11" spans="1:12">
      <c r="A11" t="str">
        <f t="shared" si="1"/>
        <v>P.R. China-worker</v>
      </c>
      <c r="B11" t="s">
        <v>36</v>
      </c>
      <c r="C11" t="s">
        <v>257</v>
      </c>
      <c r="D11" t="s">
        <v>273</v>
      </c>
      <c r="E11" t="str">
        <f t="shared" si="0"/>
        <v>China</v>
      </c>
      <c r="F11" t="s">
        <v>295</v>
      </c>
      <c r="G11" t="s">
        <v>118</v>
      </c>
      <c r="H11" s="4"/>
      <c r="I11" s="4"/>
      <c r="J11" s="4"/>
      <c r="K11" s="4"/>
      <c r="L11" s="4"/>
    </row>
    <row r="12" spans="1:12">
      <c r="A12" t="str">
        <f t="shared" si="1"/>
        <v>P.R. China-worker</v>
      </c>
      <c r="B12" t="s">
        <v>36</v>
      </c>
      <c r="C12" t="s">
        <v>257</v>
      </c>
      <c r="D12" t="s">
        <v>273</v>
      </c>
      <c r="E12" t="str">
        <f t="shared" si="0"/>
        <v>China</v>
      </c>
      <c r="F12" t="s">
        <v>305</v>
      </c>
      <c r="G12" t="s">
        <v>100</v>
      </c>
      <c r="H12" s="4"/>
      <c r="I12" s="4"/>
      <c r="J12" s="4"/>
      <c r="K12" s="4"/>
      <c r="L12" s="4"/>
    </row>
    <row r="13" spans="1:12">
      <c r="A13" t="str">
        <f t="shared" si="1"/>
        <v>P.R. China-worker</v>
      </c>
      <c r="B13" t="s">
        <v>36</v>
      </c>
      <c r="C13" t="s">
        <v>257</v>
      </c>
      <c r="D13" t="s">
        <v>273</v>
      </c>
      <c r="E13" t="str">
        <f t="shared" si="0"/>
        <v>China</v>
      </c>
      <c r="F13" t="s">
        <v>357</v>
      </c>
      <c r="G13" t="s">
        <v>100</v>
      </c>
      <c r="H13" s="4"/>
      <c r="I13" s="4"/>
      <c r="J13" s="4"/>
      <c r="K13" s="4"/>
      <c r="L13" s="4"/>
    </row>
    <row r="14" spans="1:12">
      <c r="A14" t="str">
        <f t="shared" si="1"/>
        <v>P.R. China-worker</v>
      </c>
      <c r="B14" t="s">
        <v>36</v>
      </c>
      <c r="C14" t="s">
        <v>257</v>
      </c>
      <c r="D14" t="s">
        <v>273</v>
      </c>
      <c r="E14" t="str">
        <f t="shared" si="0"/>
        <v>China</v>
      </c>
      <c r="F14" t="s">
        <v>402</v>
      </c>
      <c r="G14" t="s">
        <v>95</v>
      </c>
      <c r="H14" s="4"/>
      <c r="I14" s="4"/>
      <c r="J14" s="4"/>
      <c r="K14" s="4"/>
      <c r="L14" s="4"/>
    </row>
    <row r="15" spans="1:12">
      <c r="A15" t="str">
        <f t="shared" si="1"/>
        <v>P.R. China-worker</v>
      </c>
      <c r="B15" t="s">
        <v>36</v>
      </c>
      <c r="C15" t="s">
        <v>257</v>
      </c>
      <c r="D15" t="s">
        <v>273</v>
      </c>
      <c r="E15" t="str">
        <f t="shared" si="0"/>
        <v>China</v>
      </c>
      <c r="F15" t="s">
        <v>292</v>
      </c>
      <c r="G15" t="s">
        <v>107</v>
      </c>
      <c r="H15" s="4"/>
      <c r="I15" s="4"/>
      <c r="J15" s="4"/>
      <c r="K15" s="4"/>
      <c r="L15" s="4"/>
    </row>
    <row r="16" spans="1:12">
      <c r="A16" t="str">
        <f t="shared" si="1"/>
        <v>P.R. China-worker</v>
      </c>
      <c r="B16" t="s">
        <v>36</v>
      </c>
      <c r="C16" t="s">
        <v>257</v>
      </c>
      <c r="D16" t="s">
        <v>273</v>
      </c>
      <c r="E16" t="str">
        <f t="shared" si="0"/>
        <v>China</v>
      </c>
      <c r="F16" t="s">
        <v>403</v>
      </c>
      <c r="G16" t="s">
        <v>225</v>
      </c>
      <c r="H16" s="4"/>
      <c r="I16" s="4"/>
      <c r="J16" s="4"/>
      <c r="K16" s="4"/>
      <c r="L16" s="4"/>
    </row>
    <row r="17" spans="1:12">
      <c r="A17" t="str">
        <f t="shared" si="1"/>
        <v>P.R. China-worker</v>
      </c>
      <c r="B17" t="s">
        <v>36</v>
      </c>
      <c r="C17" t="s">
        <v>257</v>
      </c>
      <c r="D17" t="s">
        <v>273</v>
      </c>
      <c r="E17" t="str">
        <f t="shared" si="0"/>
        <v>China</v>
      </c>
      <c r="F17" t="s">
        <v>363</v>
      </c>
      <c r="G17" t="s">
        <v>121</v>
      </c>
      <c r="H17" s="4"/>
      <c r="I17" s="4"/>
      <c r="J17" s="4"/>
      <c r="K17" s="4"/>
      <c r="L17" s="4"/>
    </row>
    <row r="18" spans="1:12">
      <c r="A18" t="str">
        <f t="shared" si="1"/>
        <v>P.R. China-worker</v>
      </c>
      <c r="B18" t="s">
        <v>36</v>
      </c>
      <c r="C18" t="s">
        <v>257</v>
      </c>
      <c r="D18" t="s">
        <v>273</v>
      </c>
      <c r="E18" t="str">
        <f t="shared" si="0"/>
        <v>China</v>
      </c>
      <c r="F18" t="s">
        <v>404</v>
      </c>
      <c r="G18" t="s">
        <v>121</v>
      </c>
      <c r="H18" s="4"/>
      <c r="I18" s="4"/>
      <c r="J18" s="4"/>
      <c r="K18" s="4"/>
      <c r="L18" s="4"/>
    </row>
    <row r="19" spans="1:12">
      <c r="A19" t="str">
        <f t="shared" si="1"/>
        <v>P.R. China-worker</v>
      </c>
      <c r="B19" t="s">
        <v>36</v>
      </c>
      <c r="C19" t="s">
        <v>257</v>
      </c>
      <c r="D19" t="s">
        <v>297</v>
      </c>
      <c r="E19" t="str">
        <f t="shared" si="0"/>
        <v>China</v>
      </c>
      <c r="F19" t="s">
        <v>346</v>
      </c>
      <c r="G19" t="s">
        <v>100</v>
      </c>
      <c r="H19" s="4"/>
      <c r="I19" s="4"/>
      <c r="J19" s="4"/>
      <c r="K19" s="4"/>
      <c r="L19" s="4"/>
    </row>
    <row r="20" spans="1:12">
      <c r="A20" t="str">
        <f t="shared" si="1"/>
        <v>P.R. China-worker</v>
      </c>
      <c r="B20" t="s">
        <v>36</v>
      </c>
      <c r="C20" t="s">
        <v>257</v>
      </c>
      <c r="D20" t="s">
        <v>297</v>
      </c>
      <c r="E20" t="str">
        <f t="shared" si="0"/>
        <v>China</v>
      </c>
      <c r="F20" t="s">
        <v>278</v>
      </c>
      <c r="G20" t="s">
        <v>80</v>
      </c>
      <c r="H20" s="4"/>
      <c r="I20" s="4"/>
      <c r="J20" s="4"/>
      <c r="K20" s="4"/>
      <c r="L20" s="4"/>
    </row>
    <row r="21" spans="1:12">
      <c r="A21" t="str">
        <f t="shared" si="1"/>
        <v>P.R. China-worker</v>
      </c>
      <c r="B21" t="s">
        <v>36</v>
      </c>
      <c r="C21" t="s">
        <v>257</v>
      </c>
      <c r="D21" t="s">
        <v>297</v>
      </c>
      <c r="E21" t="str">
        <f t="shared" si="0"/>
        <v>China</v>
      </c>
      <c r="F21" t="s">
        <v>325</v>
      </c>
      <c r="G21" t="s">
        <v>122</v>
      </c>
      <c r="H21" s="4"/>
      <c r="I21" s="4"/>
      <c r="J21" s="4"/>
      <c r="K21" s="4"/>
      <c r="L21" s="4"/>
    </row>
    <row r="22" spans="1:12">
      <c r="A22" t="str">
        <f t="shared" si="1"/>
        <v>P.R. China-worker</v>
      </c>
      <c r="B22" t="s">
        <v>36</v>
      </c>
      <c r="C22" t="s">
        <v>257</v>
      </c>
      <c r="D22" t="s">
        <v>297</v>
      </c>
      <c r="E22" t="str">
        <f t="shared" si="0"/>
        <v>China</v>
      </c>
      <c r="F22" t="s">
        <v>383</v>
      </c>
      <c r="G22" t="s">
        <v>113</v>
      </c>
      <c r="H22" s="4"/>
      <c r="I22" s="4"/>
      <c r="J22" s="4"/>
      <c r="K22" s="4"/>
      <c r="L22" s="4"/>
    </row>
    <row r="23" spans="1:12">
      <c r="A23" t="str">
        <f t="shared" si="1"/>
        <v>P.R. China-worker</v>
      </c>
      <c r="B23" t="s">
        <v>36</v>
      </c>
      <c r="C23" t="s">
        <v>257</v>
      </c>
      <c r="D23" t="s">
        <v>297</v>
      </c>
      <c r="E23" t="str">
        <f t="shared" si="0"/>
        <v>China</v>
      </c>
      <c r="F23" t="s">
        <v>353</v>
      </c>
      <c r="G23" t="s">
        <v>125</v>
      </c>
      <c r="H23" s="4"/>
      <c r="I23" s="4"/>
      <c r="J23" s="4"/>
      <c r="K23" s="4"/>
      <c r="L23" s="4"/>
    </row>
    <row r="24" spans="1:12">
      <c r="A24" t="str">
        <f t="shared" si="1"/>
        <v>P.R. China-worker</v>
      </c>
      <c r="B24" t="s">
        <v>36</v>
      </c>
      <c r="C24" t="s">
        <v>257</v>
      </c>
      <c r="D24" t="s">
        <v>297</v>
      </c>
      <c r="E24" t="str">
        <f t="shared" si="0"/>
        <v>China</v>
      </c>
      <c r="F24" t="s">
        <v>330</v>
      </c>
      <c r="G24" t="s">
        <v>108</v>
      </c>
      <c r="H24" s="4"/>
      <c r="I24" s="4"/>
      <c r="J24" s="4"/>
      <c r="K24" s="4"/>
      <c r="L24" s="4"/>
    </row>
    <row r="25" spans="1:12">
      <c r="A25" t="str">
        <f t="shared" si="1"/>
        <v>P.R. China-worker</v>
      </c>
      <c r="B25" t="s">
        <v>36</v>
      </c>
      <c r="C25" t="s">
        <v>257</v>
      </c>
      <c r="D25" t="s">
        <v>297</v>
      </c>
      <c r="E25" t="str">
        <f t="shared" si="0"/>
        <v>China</v>
      </c>
      <c r="F25" t="s">
        <v>405</v>
      </c>
      <c r="G25" t="s">
        <v>66</v>
      </c>
      <c r="H25" s="4"/>
      <c r="I25" s="4"/>
      <c r="J25" s="4"/>
      <c r="K25" s="4"/>
      <c r="L25" s="4"/>
    </row>
    <row r="26" spans="1:12">
      <c r="A26" t="str">
        <f t="shared" si="1"/>
        <v>P.R. China-worker</v>
      </c>
      <c r="B26" t="s">
        <v>36</v>
      </c>
      <c r="C26" t="s">
        <v>257</v>
      </c>
      <c r="D26" t="s">
        <v>297</v>
      </c>
      <c r="E26" t="str">
        <f t="shared" si="0"/>
        <v>China</v>
      </c>
      <c r="F26" t="s">
        <v>406</v>
      </c>
      <c r="G26" t="s">
        <v>100</v>
      </c>
      <c r="H26" s="4"/>
      <c r="I26" s="4"/>
      <c r="J26" s="4"/>
      <c r="K26" s="4"/>
      <c r="L26" s="4"/>
    </row>
    <row r="27" spans="1:12">
      <c r="A27" t="str">
        <f t="shared" si="1"/>
        <v>P.R. China-worker</v>
      </c>
      <c r="B27" t="s">
        <v>36</v>
      </c>
      <c r="C27" t="s">
        <v>257</v>
      </c>
      <c r="D27" t="s">
        <v>297</v>
      </c>
      <c r="E27" t="str">
        <f t="shared" si="0"/>
        <v>China</v>
      </c>
      <c r="F27" t="s">
        <v>363</v>
      </c>
      <c r="G27" t="s">
        <v>121</v>
      </c>
      <c r="H27" s="4"/>
      <c r="I27" s="4"/>
      <c r="J27" s="4"/>
      <c r="K27" s="4"/>
      <c r="L27" s="4"/>
    </row>
    <row r="28" spans="1:12">
      <c r="A28" t="str">
        <f t="shared" si="1"/>
        <v>P.R. China-worker</v>
      </c>
      <c r="B28" t="s">
        <v>36</v>
      </c>
      <c r="C28" t="s">
        <v>257</v>
      </c>
      <c r="D28" t="s">
        <v>297</v>
      </c>
      <c r="E28" t="str">
        <f t="shared" si="0"/>
        <v>China</v>
      </c>
      <c r="F28" t="s">
        <v>383</v>
      </c>
      <c r="G28" t="s">
        <v>113</v>
      </c>
      <c r="H28" s="4"/>
      <c r="I28" s="4"/>
      <c r="J28" s="4"/>
      <c r="K28" s="4"/>
      <c r="L28" s="4"/>
    </row>
    <row r="29" spans="1:12">
      <c r="A29" t="str">
        <f t="shared" si="1"/>
        <v>P.R. China-worker</v>
      </c>
      <c r="B29" t="s">
        <v>36</v>
      </c>
      <c r="C29" t="s">
        <v>257</v>
      </c>
      <c r="D29" t="s">
        <v>297</v>
      </c>
      <c r="E29" t="str">
        <f t="shared" si="0"/>
        <v>China</v>
      </c>
      <c r="F29" t="s">
        <v>316</v>
      </c>
      <c r="G29" t="s">
        <v>100</v>
      </c>
      <c r="H29" s="4"/>
      <c r="I29" s="4"/>
      <c r="J29" s="4"/>
      <c r="K29" s="4"/>
      <c r="L29" s="4"/>
    </row>
    <row r="30" spans="1:12">
      <c r="A30" t="str">
        <f t="shared" si="1"/>
        <v>P.R. China-worker</v>
      </c>
      <c r="B30" t="s">
        <v>36</v>
      </c>
      <c r="C30" t="s">
        <v>257</v>
      </c>
      <c r="D30" t="s">
        <v>297</v>
      </c>
      <c r="E30" t="str">
        <f t="shared" si="0"/>
        <v>China</v>
      </c>
      <c r="F30" t="s">
        <v>407</v>
      </c>
      <c r="G30" t="s">
        <v>125</v>
      </c>
      <c r="H30" s="4"/>
      <c r="I30" s="4"/>
      <c r="J30" s="4"/>
      <c r="K30" s="4"/>
      <c r="L30" s="4"/>
    </row>
    <row r="31" spans="1:12">
      <c r="A31" t="str">
        <f t="shared" si="1"/>
        <v>P.R. China-worker</v>
      </c>
      <c r="B31" t="s">
        <v>36</v>
      </c>
      <c r="C31" t="s">
        <v>257</v>
      </c>
      <c r="D31" t="s">
        <v>297</v>
      </c>
      <c r="E31" t="str">
        <f t="shared" si="0"/>
        <v>China</v>
      </c>
      <c r="F31" t="s">
        <v>408</v>
      </c>
      <c r="G31" t="s">
        <v>222</v>
      </c>
      <c r="H31" s="4"/>
      <c r="I31" s="4"/>
      <c r="J31" s="4"/>
      <c r="K31" s="4"/>
      <c r="L31" s="4"/>
    </row>
    <row r="32" spans="1:12">
      <c r="A32" t="str">
        <f t="shared" si="1"/>
        <v>P.R. China-worker</v>
      </c>
      <c r="B32" t="s">
        <v>36</v>
      </c>
      <c r="C32" t="s">
        <v>257</v>
      </c>
      <c r="D32" t="s">
        <v>297</v>
      </c>
      <c r="E32" t="str">
        <f t="shared" si="0"/>
        <v>China</v>
      </c>
      <c r="F32" t="s">
        <v>369</v>
      </c>
      <c r="G32" t="s">
        <v>94</v>
      </c>
      <c r="H32" s="4"/>
      <c r="I32" s="4"/>
      <c r="J32" s="4"/>
      <c r="K32" s="4"/>
      <c r="L32" s="4"/>
    </row>
    <row r="33" spans="1:12">
      <c r="A33" t="str">
        <f t="shared" si="1"/>
        <v>P.R. China-worker</v>
      </c>
      <c r="B33" t="s">
        <v>36</v>
      </c>
      <c r="C33" t="s">
        <v>257</v>
      </c>
      <c r="D33" t="s">
        <v>297</v>
      </c>
      <c r="E33" t="str">
        <f t="shared" si="0"/>
        <v>China</v>
      </c>
      <c r="F33" t="s">
        <v>409</v>
      </c>
      <c r="G33" t="s">
        <v>66</v>
      </c>
      <c r="H33" s="4"/>
      <c r="I33" s="4"/>
      <c r="J33" s="4"/>
      <c r="K33" s="4"/>
      <c r="L33" s="4"/>
    </row>
    <row r="34" spans="1:12">
      <c r="A34" t="str">
        <f t="shared" si="1"/>
        <v>P.R. China-worker</v>
      </c>
      <c r="B34" t="s">
        <v>36</v>
      </c>
      <c r="C34" t="s">
        <v>257</v>
      </c>
      <c r="D34" t="s">
        <v>297</v>
      </c>
      <c r="E34" t="str">
        <f t="shared" si="0"/>
        <v>China</v>
      </c>
      <c r="F34" t="s">
        <v>223</v>
      </c>
      <c r="G34" t="s">
        <v>223</v>
      </c>
      <c r="H34" s="4"/>
      <c r="I34" s="4"/>
      <c r="J34" s="4"/>
      <c r="K34" s="4"/>
      <c r="L34" s="4"/>
    </row>
    <row r="35" spans="1:12">
      <c r="A35" t="str">
        <f t="shared" si="1"/>
        <v>P.R. China-worker</v>
      </c>
      <c r="B35" t="s">
        <v>36</v>
      </c>
      <c r="C35" t="s">
        <v>257</v>
      </c>
      <c r="D35" t="s">
        <v>314</v>
      </c>
      <c r="E35" t="str">
        <f t="shared" si="0"/>
        <v>US</v>
      </c>
      <c r="F35" t="s">
        <v>346</v>
      </c>
      <c r="G35" t="s">
        <v>100</v>
      </c>
      <c r="H35" s="4"/>
      <c r="I35" s="4"/>
      <c r="J35" s="4"/>
      <c r="K35" s="4"/>
      <c r="L35" s="4"/>
    </row>
    <row r="36" spans="1:12">
      <c r="A36" t="str">
        <f t="shared" si="1"/>
        <v>P.R. China-worker</v>
      </c>
      <c r="B36" t="s">
        <v>36</v>
      </c>
      <c r="C36" t="s">
        <v>257</v>
      </c>
      <c r="D36" t="s">
        <v>314</v>
      </c>
      <c r="E36" t="str">
        <f t="shared" si="0"/>
        <v>US</v>
      </c>
      <c r="F36" t="s">
        <v>347</v>
      </c>
      <c r="G36" t="s">
        <v>128</v>
      </c>
      <c r="H36" s="4"/>
      <c r="I36" s="4"/>
      <c r="J36" s="4"/>
      <c r="K36" s="4"/>
      <c r="L36" s="4"/>
    </row>
    <row r="37" spans="1:12">
      <c r="A37" t="str">
        <f t="shared" si="1"/>
        <v>P.R. China-worker</v>
      </c>
      <c r="B37" t="s">
        <v>36</v>
      </c>
      <c r="C37" t="s">
        <v>257</v>
      </c>
      <c r="D37" t="s">
        <v>314</v>
      </c>
      <c r="E37" t="str">
        <f t="shared" si="0"/>
        <v>US</v>
      </c>
      <c r="F37" t="s">
        <v>353</v>
      </c>
      <c r="G37" t="s">
        <v>125</v>
      </c>
      <c r="H37" s="4"/>
      <c r="I37" s="4"/>
      <c r="J37" s="4"/>
      <c r="K37" s="4"/>
      <c r="L37" s="4"/>
    </row>
    <row r="38" spans="1:12">
      <c r="A38" t="str">
        <f t="shared" si="1"/>
        <v>P.R. China-worker</v>
      </c>
      <c r="B38" t="s">
        <v>36</v>
      </c>
      <c r="C38" t="s">
        <v>257</v>
      </c>
      <c r="D38" t="s">
        <v>314</v>
      </c>
      <c r="E38" t="str">
        <f t="shared" si="0"/>
        <v>US</v>
      </c>
      <c r="F38" t="s">
        <v>367</v>
      </c>
      <c r="G38" t="s">
        <v>125</v>
      </c>
      <c r="H38" s="4"/>
      <c r="I38" s="4"/>
      <c r="J38" s="4"/>
      <c r="K38" s="4"/>
      <c r="L38" s="4"/>
    </row>
    <row r="39" spans="1:12">
      <c r="A39" t="str">
        <f t="shared" si="1"/>
        <v>P.R. China-worker</v>
      </c>
      <c r="B39" t="s">
        <v>36</v>
      </c>
      <c r="C39" t="s">
        <v>257</v>
      </c>
      <c r="D39" t="s">
        <v>314</v>
      </c>
      <c r="E39" t="str">
        <f t="shared" si="0"/>
        <v>US</v>
      </c>
      <c r="F39" t="s">
        <v>348</v>
      </c>
      <c r="G39" t="s">
        <v>122</v>
      </c>
      <c r="H39" s="4"/>
      <c r="I39" s="4"/>
      <c r="J39" s="4"/>
      <c r="K39" s="4"/>
      <c r="L39" s="4"/>
    </row>
    <row r="40" spans="1:12">
      <c r="A40" t="str">
        <f t="shared" si="1"/>
        <v>P.R. China-worker</v>
      </c>
      <c r="B40" t="s">
        <v>36</v>
      </c>
      <c r="C40" t="s">
        <v>257</v>
      </c>
      <c r="D40" t="s">
        <v>314</v>
      </c>
      <c r="E40" t="str">
        <f t="shared" si="0"/>
        <v>US</v>
      </c>
      <c r="F40" t="s">
        <v>278</v>
      </c>
      <c r="G40" t="s">
        <v>80</v>
      </c>
      <c r="H40" s="4"/>
      <c r="I40" s="4"/>
      <c r="J40" s="4"/>
      <c r="K40" s="4"/>
      <c r="L40" s="4"/>
    </row>
    <row r="41" spans="1:12">
      <c r="A41" t="str">
        <f t="shared" si="1"/>
        <v>P.R. China-worker</v>
      </c>
      <c r="B41" t="s">
        <v>36</v>
      </c>
      <c r="C41" t="s">
        <v>257</v>
      </c>
      <c r="D41" t="s">
        <v>314</v>
      </c>
      <c r="E41" t="str">
        <f t="shared" si="0"/>
        <v>US</v>
      </c>
      <c r="F41" t="s">
        <v>405</v>
      </c>
      <c r="G41" t="s">
        <v>66</v>
      </c>
      <c r="H41" s="4"/>
      <c r="I41" s="4"/>
      <c r="J41" s="4"/>
      <c r="K41" s="4"/>
      <c r="L41" s="4"/>
    </row>
    <row r="42" spans="1:12">
      <c r="A42" t="str">
        <f t="shared" si="1"/>
        <v>P.R. China-worker</v>
      </c>
      <c r="B42" t="s">
        <v>36</v>
      </c>
      <c r="C42" t="s">
        <v>257</v>
      </c>
      <c r="D42" t="s">
        <v>314</v>
      </c>
      <c r="E42" t="str">
        <f t="shared" si="0"/>
        <v>US</v>
      </c>
      <c r="F42" t="s">
        <v>363</v>
      </c>
      <c r="G42" t="s">
        <v>121</v>
      </c>
      <c r="H42" s="4"/>
      <c r="I42" s="4"/>
      <c r="J42" s="4"/>
      <c r="K42" s="4"/>
      <c r="L42" s="4"/>
    </row>
    <row r="43" spans="1:12">
      <c r="A43" t="str">
        <f t="shared" si="1"/>
        <v>P.R. China-worker</v>
      </c>
      <c r="B43" t="s">
        <v>36</v>
      </c>
      <c r="C43" t="s">
        <v>257</v>
      </c>
      <c r="D43" t="s">
        <v>314</v>
      </c>
      <c r="E43" t="str">
        <f t="shared" si="0"/>
        <v>US</v>
      </c>
      <c r="F43" t="s">
        <v>285</v>
      </c>
      <c r="G43" t="s">
        <v>113</v>
      </c>
      <c r="H43" s="4"/>
      <c r="I43" s="4"/>
      <c r="J43" s="4"/>
      <c r="K43" s="4"/>
      <c r="L43" s="4"/>
    </row>
    <row r="44" spans="1:12">
      <c r="A44" t="str">
        <f t="shared" si="1"/>
        <v>P.R. China-worker</v>
      </c>
      <c r="B44" t="s">
        <v>36</v>
      </c>
      <c r="C44" t="s">
        <v>257</v>
      </c>
      <c r="D44" t="s">
        <v>314</v>
      </c>
      <c r="E44" t="str">
        <f t="shared" si="0"/>
        <v>US</v>
      </c>
      <c r="F44" t="s">
        <v>410</v>
      </c>
      <c r="G44" t="s">
        <v>100</v>
      </c>
      <c r="H44" s="4"/>
      <c r="I44" s="4"/>
      <c r="J44" s="4"/>
      <c r="K44" s="4"/>
      <c r="L44" s="4"/>
    </row>
    <row r="45" spans="1:12">
      <c r="A45" t="str">
        <f t="shared" si="1"/>
        <v>P.R. China-worker</v>
      </c>
      <c r="B45" t="s">
        <v>36</v>
      </c>
      <c r="C45" t="s">
        <v>257</v>
      </c>
      <c r="D45" t="s">
        <v>314</v>
      </c>
      <c r="E45" t="str">
        <f t="shared" si="0"/>
        <v>US</v>
      </c>
      <c r="F45" t="s">
        <v>411</v>
      </c>
      <c r="G45" t="s">
        <v>58</v>
      </c>
      <c r="H45" s="4"/>
      <c r="I45" s="4"/>
      <c r="J45" s="4"/>
      <c r="K45" s="4"/>
      <c r="L45" s="4"/>
    </row>
    <row r="46" spans="1:12">
      <c r="A46" t="str">
        <f t="shared" si="1"/>
        <v>P.R. China-worker</v>
      </c>
      <c r="B46" t="s">
        <v>36</v>
      </c>
      <c r="C46" t="s">
        <v>257</v>
      </c>
      <c r="D46" t="s">
        <v>329</v>
      </c>
      <c r="E46" t="str">
        <f t="shared" si="0"/>
        <v>US</v>
      </c>
      <c r="F46" t="s">
        <v>347</v>
      </c>
      <c r="G46" t="s">
        <v>128</v>
      </c>
      <c r="H46" s="4"/>
      <c r="I46" s="4"/>
      <c r="J46" s="4"/>
      <c r="K46" s="4"/>
      <c r="L46" s="4"/>
    </row>
    <row r="47" spans="1:12">
      <c r="A47" t="str">
        <f t="shared" si="1"/>
        <v>P.R. China-worker</v>
      </c>
      <c r="B47" t="s">
        <v>36</v>
      </c>
      <c r="C47" t="s">
        <v>257</v>
      </c>
      <c r="D47" t="s">
        <v>329</v>
      </c>
      <c r="E47" t="str">
        <f t="shared" si="0"/>
        <v>US</v>
      </c>
      <c r="F47" t="s">
        <v>346</v>
      </c>
      <c r="G47" t="s">
        <v>100</v>
      </c>
      <c r="H47" s="4"/>
      <c r="I47" s="4"/>
      <c r="J47" s="4"/>
      <c r="K47" s="4"/>
      <c r="L47" s="4"/>
    </row>
    <row r="48" spans="1:12">
      <c r="A48" t="str">
        <f t="shared" si="1"/>
        <v>P.R. China-worker</v>
      </c>
      <c r="B48" t="s">
        <v>36</v>
      </c>
      <c r="C48" t="s">
        <v>257</v>
      </c>
      <c r="D48" t="s">
        <v>329</v>
      </c>
      <c r="E48" t="str">
        <f t="shared" si="0"/>
        <v>US</v>
      </c>
      <c r="F48" t="s">
        <v>410</v>
      </c>
      <c r="G48" t="s">
        <v>100</v>
      </c>
      <c r="H48" s="4"/>
      <c r="I48" s="4"/>
      <c r="J48" s="4"/>
      <c r="K48" s="4"/>
      <c r="L48" s="4"/>
    </row>
    <row r="49" spans="1:12">
      <c r="A49" t="str">
        <f t="shared" si="1"/>
        <v>P.R. China-worker</v>
      </c>
      <c r="B49" t="s">
        <v>36</v>
      </c>
      <c r="C49" t="s">
        <v>257</v>
      </c>
      <c r="D49" t="s">
        <v>329</v>
      </c>
      <c r="E49" t="str">
        <f t="shared" si="0"/>
        <v>US</v>
      </c>
      <c r="F49" t="s">
        <v>325</v>
      </c>
      <c r="G49" t="s">
        <v>122</v>
      </c>
      <c r="H49" s="4"/>
      <c r="I49" s="4"/>
      <c r="J49" s="4"/>
      <c r="K49" s="4"/>
      <c r="L49" s="4"/>
    </row>
    <row r="50" spans="1:12">
      <c r="A50" t="str">
        <f t="shared" si="1"/>
        <v>P.R. China-worker</v>
      </c>
      <c r="B50" t="s">
        <v>36</v>
      </c>
      <c r="C50" t="s">
        <v>257</v>
      </c>
      <c r="D50" t="s">
        <v>329</v>
      </c>
      <c r="E50" t="str">
        <f t="shared" si="0"/>
        <v>US</v>
      </c>
      <c r="F50" t="s">
        <v>392</v>
      </c>
      <c r="G50" t="s">
        <v>113</v>
      </c>
      <c r="H50" s="4"/>
      <c r="I50" s="4"/>
      <c r="J50" s="4"/>
      <c r="K50" s="4"/>
      <c r="L50" s="4"/>
    </row>
    <row r="51" spans="1:12">
      <c r="A51" t="str">
        <f t="shared" si="1"/>
        <v>P.R. China-worker</v>
      </c>
      <c r="B51" t="s">
        <v>36</v>
      </c>
      <c r="C51" t="s">
        <v>257</v>
      </c>
      <c r="D51" t="s">
        <v>329</v>
      </c>
      <c r="E51" t="str">
        <f t="shared" si="0"/>
        <v>US</v>
      </c>
      <c r="F51" t="s">
        <v>353</v>
      </c>
      <c r="G51" t="s">
        <v>125</v>
      </c>
      <c r="H51" s="4"/>
      <c r="I51" s="4"/>
      <c r="J51" s="4"/>
      <c r="K51" s="4"/>
      <c r="L51" s="4"/>
    </row>
    <row r="52" spans="1:12">
      <c r="A52" t="str">
        <f t="shared" si="1"/>
        <v>P.R. China-worker</v>
      </c>
      <c r="B52" t="s">
        <v>36</v>
      </c>
      <c r="C52" t="s">
        <v>257</v>
      </c>
      <c r="D52" t="s">
        <v>329</v>
      </c>
      <c r="E52" t="str">
        <f t="shared" si="0"/>
        <v>US</v>
      </c>
      <c r="F52" t="s">
        <v>315</v>
      </c>
      <c r="G52" t="s">
        <v>125</v>
      </c>
      <c r="H52" s="4"/>
      <c r="I52" s="4"/>
      <c r="J52" s="4"/>
      <c r="K52" s="4"/>
      <c r="L52" s="4"/>
    </row>
    <row r="53" spans="1:12">
      <c r="A53" t="str">
        <f t="shared" si="1"/>
        <v>P.R. China-worker</v>
      </c>
      <c r="B53" t="s">
        <v>36</v>
      </c>
      <c r="C53" t="s">
        <v>257</v>
      </c>
      <c r="D53" t="s">
        <v>329</v>
      </c>
      <c r="E53" t="str">
        <f t="shared" si="0"/>
        <v>US</v>
      </c>
      <c r="F53" t="s">
        <v>361</v>
      </c>
      <c r="G53" t="s">
        <v>113</v>
      </c>
      <c r="H53" s="4"/>
      <c r="I53" s="4"/>
      <c r="J53" s="4"/>
      <c r="K53" s="4"/>
      <c r="L53" s="4"/>
    </row>
    <row r="54" spans="1:12">
      <c r="A54" t="str">
        <f t="shared" si="1"/>
        <v>P.R. China-worker</v>
      </c>
      <c r="B54" t="s">
        <v>36</v>
      </c>
      <c r="C54" t="s">
        <v>257</v>
      </c>
      <c r="D54" t="s">
        <v>329</v>
      </c>
      <c r="E54" t="str">
        <f t="shared" si="0"/>
        <v>US</v>
      </c>
      <c r="F54" t="s">
        <v>278</v>
      </c>
      <c r="G54" t="s">
        <v>80</v>
      </c>
      <c r="H54" s="4"/>
      <c r="I54" s="4"/>
      <c r="J54" s="4"/>
      <c r="K54" s="4"/>
      <c r="L54" s="4"/>
    </row>
    <row r="55" spans="1:12">
      <c r="A55" t="str">
        <f t="shared" si="1"/>
        <v>P.R. China-worker</v>
      </c>
      <c r="B55" t="s">
        <v>36</v>
      </c>
      <c r="C55" t="s">
        <v>257</v>
      </c>
      <c r="D55" t="s">
        <v>329</v>
      </c>
      <c r="E55" t="str">
        <f t="shared" si="0"/>
        <v>US</v>
      </c>
      <c r="F55" t="s">
        <v>351</v>
      </c>
      <c r="G55" t="s">
        <v>108</v>
      </c>
      <c r="H55" s="4"/>
      <c r="I55" s="4"/>
      <c r="J55" s="4"/>
      <c r="K55" s="4"/>
      <c r="L55" s="4"/>
    </row>
    <row r="56" spans="1:12">
      <c r="A56" t="str">
        <f t="shared" si="1"/>
        <v>P.R. China-worker</v>
      </c>
      <c r="B56" t="s">
        <v>36</v>
      </c>
      <c r="C56" t="s">
        <v>257</v>
      </c>
      <c r="D56" t="s">
        <v>329</v>
      </c>
      <c r="E56" t="str">
        <f t="shared" si="0"/>
        <v>US</v>
      </c>
      <c r="F56" t="s">
        <v>380</v>
      </c>
      <c r="G56" t="s">
        <v>94</v>
      </c>
      <c r="H56" s="4"/>
      <c r="I56" s="4"/>
      <c r="J56" s="4"/>
      <c r="K56" s="4"/>
      <c r="L56" s="4"/>
    </row>
    <row r="57" spans="1:12">
      <c r="A57" t="str">
        <f t="shared" si="1"/>
        <v>P.R. China-worker</v>
      </c>
      <c r="B57" t="s">
        <v>36</v>
      </c>
      <c r="C57" t="s">
        <v>257</v>
      </c>
      <c r="D57" t="s">
        <v>329</v>
      </c>
      <c r="E57" t="str">
        <f t="shared" si="0"/>
        <v>US</v>
      </c>
      <c r="F57" t="s">
        <v>399</v>
      </c>
      <c r="G57" t="s">
        <v>211</v>
      </c>
      <c r="H57" s="4"/>
      <c r="I57" s="4"/>
      <c r="J57" s="4"/>
      <c r="K57" s="4"/>
      <c r="L57" s="4"/>
    </row>
    <row r="58" spans="1:12">
      <c r="A58" t="str">
        <f t="shared" si="1"/>
        <v>P.R. China-worker</v>
      </c>
      <c r="B58" t="s">
        <v>36</v>
      </c>
      <c r="C58" t="s">
        <v>257</v>
      </c>
      <c r="D58" t="s">
        <v>329</v>
      </c>
      <c r="E58" t="str">
        <f t="shared" si="0"/>
        <v>US</v>
      </c>
      <c r="F58" t="s">
        <v>412</v>
      </c>
      <c r="G58" t="s">
        <v>58</v>
      </c>
      <c r="H58" s="4"/>
      <c r="I58" s="4"/>
      <c r="J58" s="4"/>
      <c r="K58" s="4"/>
      <c r="L58" s="4"/>
    </row>
    <row r="59" spans="1:12">
      <c r="A59" t="str">
        <f t="shared" si="1"/>
        <v>P.R. China-worker</v>
      </c>
      <c r="B59" t="s">
        <v>36</v>
      </c>
      <c r="C59" t="s">
        <v>257</v>
      </c>
      <c r="D59" t="s">
        <v>329</v>
      </c>
      <c r="E59" t="str">
        <f t="shared" si="0"/>
        <v>US</v>
      </c>
      <c r="F59" t="s">
        <v>413</v>
      </c>
      <c r="G59" t="s">
        <v>224</v>
      </c>
      <c r="H59" s="4"/>
      <c r="I59" s="4"/>
      <c r="J59" s="4"/>
      <c r="K59" s="4"/>
      <c r="L59" s="4"/>
    </row>
    <row r="60" spans="1:12">
      <c r="A60" t="str">
        <f t="shared" si="1"/>
        <v>P.R. China-worker</v>
      </c>
      <c r="B60" t="s">
        <v>36</v>
      </c>
      <c r="C60" t="s">
        <v>257</v>
      </c>
      <c r="D60" t="s">
        <v>329</v>
      </c>
      <c r="E60" t="str">
        <f t="shared" si="0"/>
        <v>US</v>
      </c>
      <c r="F60" t="s">
        <v>286</v>
      </c>
      <c r="G60" t="s">
        <v>124</v>
      </c>
      <c r="H60" s="4"/>
      <c r="I60" s="4"/>
      <c r="J60" s="4"/>
      <c r="K60" s="4"/>
      <c r="L60" s="4"/>
    </row>
    <row r="61" spans="1:12">
      <c r="A61" t="str">
        <f t="shared" si="1"/>
        <v>P.R. China-worker</v>
      </c>
      <c r="B61" t="s">
        <v>36</v>
      </c>
      <c r="C61" t="s">
        <v>257</v>
      </c>
      <c r="D61" t="s">
        <v>329</v>
      </c>
      <c r="E61" t="str">
        <f t="shared" si="0"/>
        <v>US</v>
      </c>
      <c r="F61" t="s">
        <v>414</v>
      </c>
      <c r="G61" t="s">
        <v>125</v>
      </c>
      <c r="H61" s="4"/>
      <c r="I61" s="4"/>
      <c r="J61" s="4"/>
      <c r="K61" s="4"/>
      <c r="L61" s="4"/>
    </row>
    <row r="62" spans="1:12">
      <c r="A62" t="str">
        <f t="shared" si="1"/>
        <v>P.R. China-worker</v>
      </c>
      <c r="B62" t="s">
        <v>36</v>
      </c>
      <c r="C62" t="s">
        <v>257</v>
      </c>
      <c r="D62" t="s">
        <v>329</v>
      </c>
      <c r="E62" t="str">
        <f t="shared" si="0"/>
        <v>US</v>
      </c>
      <c r="F62" t="s">
        <v>391</v>
      </c>
      <c r="G62" t="s">
        <v>113</v>
      </c>
      <c r="H62" s="4"/>
      <c r="I62" s="4"/>
      <c r="J62" s="4"/>
      <c r="K62" s="4"/>
      <c r="L62" s="4"/>
    </row>
    <row r="63" spans="1:12">
      <c r="A63" t="str">
        <f t="shared" si="1"/>
        <v>P.R. China-worker</v>
      </c>
      <c r="B63" t="s">
        <v>36</v>
      </c>
      <c r="C63" t="s">
        <v>257</v>
      </c>
      <c r="D63" t="s">
        <v>329</v>
      </c>
      <c r="E63" t="str">
        <f t="shared" si="0"/>
        <v>US</v>
      </c>
      <c r="F63" t="s">
        <v>358</v>
      </c>
      <c r="G63" t="s">
        <v>100</v>
      </c>
      <c r="H63" s="4"/>
      <c r="I63" s="4"/>
      <c r="J63" s="4"/>
      <c r="K63" s="4"/>
      <c r="L63" s="4"/>
    </row>
    <row r="64" spans="1:12">
      <c r="A64" t="str">
        <f t="shared" si="1"/>
        <v>P.R. China-worker</v>
      </c>
      <c r="B64" t="s">
        <v>36</v>
      </c>
      <c r="C64" t="s">
        <v>257</v>
      </c>
      <c r="D64" t="s">
        <v>329</v>
      </c>
      <c r="E64" t="str">
        <f t="shared" si="0"/>
        <v>US</v>
      </c>
      <c r="F64" t="s">
        <v>415</v>
      </c>
      <c r="G64" t="s">
        <v>117</v>
      </c>
      <c r="H64" s="4"/>
      <c r="I64" s="4"/>
      <c r="J64" s="4"/>
      <c r="K64" s="4"/>
      <c r="L64" s="4"/>
    </row>
    <row r="65" spans="1:12">
      <c r="A65" t="str">
        <f t="shared" si="1"/>
        <v>P.R. China-worker</v>
      </c>
      <c r="B65" t="s">
        <v>36</v>
      </c>
      <c r="C65" t="s">
        <v>257</v>
      </c>
      <c r="D65" t="s">
        <v>329</v>
      </c>
      <c r="E65" t="str">
        <f t="shared" si="0"/>
        <v>US</v>
      </c>
      <c r="F65" t="s">
        <v>411</v>
      </c>
      <c r="G65" t="s">
        <v>58</v>
      </c>
      <c r="H65" s="4"/>
      <c r="I65" s="4"/>
      <c r="J65" s="4"/>
      <c r="K65" s="4"/>
      <c r="L65" s="4"/>
    </row>
    <row r="66" spans="1:12">
      <c r="A66" t="str">
        <f t="shared" si="1"/>
        <v>P.R. China-worker</v>
      </c>
      <c r="B66" t="s">
        <v>36</v>
      </c>
      <c r="C66" t="s">
        <v>257</v>
      </c>
      <c r="D66" t="s">
        <v>329</v>
      </c>
      <c r="E66" t="str">
        <f t="shared" ref="E66:E71" si="2">IF(OR(D66="Doubao Seed 2.0 Pro",D66="DeepSeek Reasoner V3.2"),"China","US")</f>
        <v>US</v>
      </c>
      <c r="F66" t="s">
        <v>416</v>
      </c>
      <c r="G66" t="s">
        <v>226</v>
      </c>
      <c r="H66" s="4"/>
      <c r="I66" s="4"/>
      <c r="J66" s="4"/>
      <c r="K66" s="4"/>
      <c r="L66" s="4"/>
    </row>
    <row r="67" spans="1:12">
      <c r="A67" t="str">
        <f>C67&amp;"-"&amp;B67</f>
        <v>P.R. China-worker</v>
      </c>
      <c r="B67" t="s">
        <v>36</v>
      </c>
      <c r="C67" t="s">
        <v>257</v>
      </c>
      <c r="D67" t="s">
        <v>329</v>
      </c>
      <c r="E67" t="str">
        <f t="shared" si="2"/>
        <v>US</v>
      </c>
      <c r="F67" t="s">
        <v>328</v>
      </c>
      <c r="G67" t="s">
        <v>100</v>
      </c>
      <c r="H67" s="4"/>
      <c r="I67" s="4"/>
      <c r="J67" s="4"/>
      <c r="K67" s="4"/>
      <c r="L67" s="4"/>
    </row>
    <row r="68" spans="1:12">
      <c r="A68" t="str">
        <f>C68&amp;"-"&amp;B68</f>
        <v>P.R. China-worker</v>
      </c>
      <c r="B68" t="s">
        <v>36</v>
      </c>
      <c r="C68" t="s">
        <v>257</v>
      </c>
      <c r="D68" t="s">
        <v>329</v>
      </c>
      <c r="E68" t="str">
        <f t="shared" si="2"/>
        <v>US</v>
      </c>
      <c r="F68" t="s">
        <v>338</v>
      </c>
      <c r="G68" t="s">
        <v>117</v>
      </c>
      <c r="H68" s="4"/>
      <c r="I68" s="4"/>
      <c r="J68" s="4"/>
      <c r="K68" s="4"/>
      <c r="L68" s="4"/>
    </row>
    <row r="69" spans="1:12">
      <c r="A69" t="str">
        <f>C69&amp;"-"&amp;B69</f>
        <v>P.R. China-worker</v>
      </c>
      <c r="B69" t="s">
        <v>36</v>
      </c>
      <c r="C69" t="s">
        <v>257</v>
      </c>
      <c r="D69" t="s">
        <v>329</v>
      </c>
      <c r="E69" t="str">
        <f t="shared" si="2"/>
        <v>US</v>
      </c>
      <c r="F69" t="s">
        <v>417</v>
      </c>
      <c r="G69" t="s">
        <v>227</v>
      </c>
      <c r="H69" s="4"/>
      <c r="I69" s="4"/>
      <c r="J69" s="4"/>
      <c r="K69" s="4"/>
      <c r="L69" s="4"/>
    </row>
    <row r="70" spans="1:12">
      <c r="A70" t="str">
        <f>C70&amp;"-"&amp;B70</f>
        <v>P.R. China-worker</v>
      </c>
      <c r="B70" t="s">
        <v>36</v>
      </c>
      <c r="C70" t="s">
        <v>257</v>
      </c>
      <c r="D70" t="s">
        <v>329</v>
      </c>
      <c r="E70" t="str">
        <f t="shared" si="2"/>
        <v>US</v>
      </c>
      <c r="F70" t="s">
        <v>395</v>
      </c>
      <c r="G70" t="s">
        <v>219</v>
      </c>
      <c r="H70" s="4"/>
      <c r="I70" s="4"/>
      <c r="J70" s="4"/>
      <c r="K70" s="4"/>
      <c r="L70" s="4"/>
    </row>
    <row r="71" spans="1:12">
      <c r="A71" t="str">
        <f>C71&amp;"-"&amp;B71</f>
        <v>P.R. China-worker</v>
      </c>
      <c r="B71" t="s">
        <v>36</v>
      </c>
      <c r="C71" t="s">
        <v>257</v>
      </c>
      <c r="D71" t="s">
        <v>329</v>
      </c>
      <c r="E71" t="str">
        <f t="shared" si="2"/>
        <v>US</v>
      </c>
      <c r="F71" t="s">
        <v>418</v>
      </c>
      <c r="G71" t="s">
        <v>123</v>
      </c>
      <c r="H71" s="4"/>
      <c r="I71" s="4"/>
      <c r="J71" s="4"/>
      <c r="K71" s="4"/>
      <c r="L71" s="4"/>
    </row>
    <row r="72" spans="1:12">
      <c r="A72" s="4" t="s">
        <v>419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t="str">
        <f t="shared" ref="A75:A99" si="3">C75&amp;"-"&amp;B75</f>
        <v>P.R. China-worker</v>
      </c>
      <c r="B75" t="s">
        <v>36</v>
      </c>
      <c r="C75" t="s">
        <v>257</v>
      </c>
      <c r="D75" s="14" t="s">
        <v>197</v>
      </c>
      <c r="E75" s="14"/>
      <c r="F75" s="14"/>
      <c r="G75" t="s">
        <v>128</v>
      </c>
      <c r="H75" s="2">
        <v>1</v>
      </c>
      <c r="I75" s="2"/>
      <c r="J75" s="2"/>
      <c r="K75" s="2" t="str">
        <f>IF(L75&gt;0.5,"Accepted","Rejected")</f>
        <v>Accepted</v>
      </c>
      <c r="L75" s="2" t="s">
        <v>55</v>
      </c>
    </row>
    <row r="76" spans="1:12">
      <c r="A76" t="str">
        <f t="shared" si="3"/>
        <v>P.R. China-worker</v>
      </c>
      <c r="B76" t="s">
        <v>36</v>
      </c>
      <c r="C76" t="s">
        <v>257</v>
      </c>
      <c r="D76" s="4"/>
      <c r="E76" s="4"/>
      <c r="F76" s="4"/>
      <c r="G76" t="s">
        <v>125</v>
      </c>
      <c r="H76" s="2">
        <v>1</v>
      </c>
      <c r="I76" s="2"/>
      <c r="J76" s="2"/>
      <c r="K76" s="2" t="str">
        <f>IF(L76&gt;0.5,"Accepted","Rejected")</f>
        <v>Accepted</v>
      </c>
      <c r="L76" s="2" t="s">
        <v>25</v>
      </c>
    </row>
    <row r="77" spans="1:12">
      <c r="A77" t="str">
        <f t="shared" si="3"/>
        <v>P.R. China-worker</v>
      </c>
      <c r="B77" t="s">
        <v>36</v>
      </c>
      <c r="C77" t="s">
        <v>257</v>
      </c>
      <c r="D77" s="4"/>
      <c r="E77" s="4"/>
      <c r="F77" s="4"/>
      <c r="G77" t="s">
        <v>124</v>
      </c>
      <c r="H77" s="2">
        <v>1</v>
      </c>
      <c r="I77" s="2"/>
      <c r="J77" s="2"/>
      <c r="K77" s="2" t="s">
        <v>199</v>
      </c>
      <c r="L77" s="2" t="s">
        <v>200</v>
      </c>
    </row>
    <row r="78" spans="1:12">
      <c r="A78" t="str">
        <f t="shared" si="3"/>
        <v>P.R. China-worker</v>
      </c>
      <c r="B78" t="s">
        <v>36</v>
      </c>
      <c r="C78" t="s">
        <v>257</v>
      </c>
      <c r="D78" s="4"/>
      <c r="E78" s="4"/>
      <c r="F78" s="4"/>
      <c r="G78" t="s">
        <v>123</v>
      </c>
      <c r="H78" s="2">
        <v>1</v>
      </c>
      <c r="I78" s="2"/>
      <c r="J78" s="2"/>
      <c r="K78" s="2" t="s">
        <v>199</v>
      </c>
      <c r="L78" s="2" t="s">
        <v>200</v>
      </c>
    </row>
    <row r="79" spans="1:12">
      <c r="A79" t="str">
        <f t="shared" si="3"/>
        <v>P.R. China-worker</v>
      </c>
      <c r="B79" t="s">
        <v>36</v>
      </c>
      <c r="C79" t="s">
        <v>257</v>
      </c>
      <c r="D79" s="4"/>
      <c r="E79" s="4"/>
      <c r="F79" s="4"/>
      <c r="G79" t="s">
        <v>219</v>
      </c>
      <c r="H79" s="2">
        <v>1</v>
      </c>
      <c r="I79" s="2"/>
      <c r="J79" s="2"/>
      <c r="K79" s="2" t="s">
        <v>199</v>
      </c>
      <c r="L79" s="2" t="s">
        <v>200</v>
      </c>
    </row>
    <row r="80" spans="1:12">
      <c r="A80" t="str">
        <f t="shared" si="3"/>
        <v>P.R. China-worker</v>
      </c>
      <c r="B80" t="s">
        <v>36</v>
      </c>
      <c r="C80" t="s">
        <v>257</v>
      </c>
      <c r="D80" s="4"/>
      <c r="E80" s="4"/>
      <c r="F80" s="4"/>
      <c r="G80" t="s">
        <v>122</v>
      </c>
      <c r="H80" s="2">
        <v>1</v>
      </c>
      <c r="I80" s="2"/>
      <c r="J80" s="2"/>
      <c r="K80" s="2" t="s">
        <v>24</v>
      </c>
      <c r="L80" s="2" t="s">
        <v>25</v>
      </c>
    </row>
    <row r="81" spans="1:12">
      <c r="A81" t="str">
        <f t="shared" si="3"/>
        <v>P.R. China-worker</v>
      </c>
      <c r="B81" t="s">
        <v>36</v>
      </c>
      <c r="C81" t="s">
        <v>257</v>
      </c>
      <c r="D81" s="4"/>
      <c r="E81" s="4"/>
      <c r="F81" s="4"/>
      <c r="G81" t="s">
        <v>121</v>
      </c>
      <c r="H81" s="2">
        <v>1</v>
      </c>
      <c r="I81" s="2"/>
      <c r="J81" s="2"/>
      <c r="K81" s="2" t="s">
        <v>24</v>
      </c>
      <c r="L81" s="2" t="s">
        <v>55</v>
      </c>
    </row>
    <row r="82" spans="1:12">
      <c r="A82" t="str">
        <f t="shared" si="3"/>
        <v>P.R. China-worker</v>
      </c>
      <c r="B82" t="s">
        <v>36</v>
      </c>
      <c r="C82" t="s">
        <v>257</v>
      </c>
      <c r="D82" s="4"/>
      <c r="E82" s="4"/>
      <c r="F82" s="4"/>
      <c r="G82" t="s">
        <v>118</v>
      </c>
      <c r="H82" s="2">
        <v>1</v>
      </c>
      <c r="I82" s="2"/>
      <c r="J82" s="2"/>
      <c r="K82" s="2" t="s">
        <v>199</v>
      </c>
      <c r="L82" s="2" t="s">
        <v>200</v>
      </c>
    </row>
    <row r="83" spans="1:12">
      <c r="A83" t="str">
        <f t="shared" si="3"/>
        <v>P.R. China-worker</v>
      </c>
      <c r="B83" t="s">
        <v>36</v>
      </c>
      <c r="C83" t="s">
        <v>257</v>
      </c>
      <c r="D83" s="4"/>
      <c r="E83" s="4"/>
      <c r="F83" s="4"/>
      <c r="G83" t="s">
        <v>117</v>
      </c>
      <c r="H83" s="2">
        <v>1</v>
      </c>
      <c r="I83" s="2"/>
      <c r="J83" s="2"/>
      <c r="K83" s="2" t="s">
        <v>199</v>
      </c>
      <c r="L83" s="2" t="s">
        <v>200</v>
      </c>
    </row>
    <row r="84" spans="1:12">
      <c r="A84" t="str">
        <f t="shared" si="3"/>
        <v>P.R. China-worker</v>
      </c>
      <c r="B84" t="s">
        <v>36</v>
      </c>
      <c r="C84" t="s">
        <v>257</v>
      </c>
      <c r="D84" s="4"/>
      <c r="E84" s="4"/>
      <c r="F84" s="4"/>
      <c r="G84" t="s">
        <v>113</v>
      </c>
      <c r="H84" s="2">
        <v>1</v>
      </c>
      <c r="I84" s="2"/>
      <c r="J84" s="2"/>
      <c r="K84" s="2" t="s">
        <v>24</v>
      </c>
      <c r="L84" s="2" t="s">
        <v>25</v>
      </c>
    </row>
    <row r="85" spans="1:12">
      <c r="A85" t="str">
        <f t="shared" si="3"/>
        <v>P.R. China-worker</v>
      </c>
      <c r="B85" t="s">
        <v>36</v>
      </c>
      <c r="C85" t="s">
        <v>257</v>
      </c>
      <c r="D85" s="4"/>
      <c r="E85" s="4"/>
      <c r="F85" s="4"/>
      <c r="G85" t="s">
        <v>222</v>
      </c>
      <c r="H85" s="2">
        <v>1</v>
      </c>
      <c r="I85" s="2"/>
      <c r="J85" s="2"/>
      <c r="K85" s="2" t="s">
        <v>199</v>
      </c>
      <c r="L85" s="2" t="s">
        <v>200</v>
      </c>
    </row>
    <row r="86" spans="1:12">
      <c r="A86" t="str">
        <f t="shared" si="3"/>
        <v>P.R. China-worker</v>
      </c>
      <c r="B86" t="s">
        <v>36</v>
      </c>
      <c r="C86" t="s">
        <v>257</v>
      </c>
      <c r="D86" s="4"/>
      <c r="E86" s="4"/>
      <c r="F86" s="4"/>
      <c r="G86" t="s">
        <v>223</v>
      </c>
      <c r="H86" s="2">
        <v>1</v>
      </c>
      <c r="I86" s="2"/>
      <c r="J86" s="2"/>
      <c r="K86" s="2" t="s">
        <v>199</v>
      </c>
      <c r="L86" s="2" t="s">
        <v>200</v>
      </c>
    </row>
    <row r="87" spans="1:12">
      <c r="A87" t="str">
        <f t="shared" si="3"/>
        <v>P.R. China-worker</v>
      </c>
      <c r="B87" t="s">
        <v>36</v>
      </c>
      <c r="C87" t="s">
        <v>257</v>
      </c>
      <c r="D87" s="4"/>
      <c r="E87" s="4"/>
      <c r="F87" s="4"/>
      <c r="G87" t="s">
        <v>108</v>
      </c>
      <c r="H87" s="2">
        <v>1</v>
      </c>
      <c r="I87" s="2"/>
      <c r="J87" s="2"/>
      <c r="K87" s="2" t="s">
        <v>24</v>
      </c>
      <c r="L87" s="2" t="s">
        <v>55</v>
      </c>
    </row>
    <row r="88" spans="1:12">
      <c r="A88" t="str">
        <f t="shared" si="3"/>
        <v>P.R. China-worker</v>
      </c>
      <c r="B88" t="s">
        <v>36</v>
      </c>
      <c r="C88" t="s">
        <v>257</v>
      </c>
      <c r="D88" s="4"/>
      <c r="E88" s="4"/>
      <c r="F88" s="4"/>
      <c r="G88" t="s">
        <v>107</v>
      </c>
      <c r="H88" s="2">
        <v>1</v>
      </c>
      <c r="I88" s="2"/>
      <c r="J88" s="2"/>
      <c r="K88" s="2" t="s">
        <v>199</v>
      </c>
      <c r="L88" s="2" t="s">
        <v>200</v>
      </c>
    </row>
    <row r="89" spans="1:12">
      <c r="A89" t="str">
        <f t="shared" si="3"/>
        <v>P.R. China-worker</v>
      </c>
      <c r="B89" t="s">
        <v>36</v>
      </c>
      <c r="C89" t="s">
        <v>257</v>
      </c>
      <c r="D89" s="4"/>
      <c r="E89" s="4"/>
      <c r="F89" s="4"/>
      <c r="G89" t="s">
        <v>100</v>
      </c>
      <c r="H89" s="2">
        <v>1</v>
      </c>
      <c r="I89" s="2"/>
      <c r="J89" s="2"/>
      <c r="K89" s="2" t="s">
        <v>24</v>
      </c>
      <c r="L89" s="2" t="s">
        <v>25</v>
      </c>
    </row>
    <row r="90" spans="1:12">
      <c r="A90" t="str">
        <f t="shared" si="3"/>
        <v>P.R. China-worker</v>
      </c>
      <c r="B90" t="s">
        <v>36</v>
      </c>
      <c r="C90" t="s">
        <v>257</v>
      </c>
      <c r="D90" s="4"/>
      <c r="E90" s="4"/>
      <c r="F90" s="4"/>
      <c r="G90" t="s">
        <v>95</v>
      </c>
      <c r="H90" s="2">
        <v>1</v>
      </c>
      <c r="I90" s="2"/>
      <c r="J90" s="2"/>
      <c r="K90" s="2" t="s">
        <v>199</v>
      </c>
      <c r="L90" s="2" t="s">
        <v>200</v>
      </c>
    </row>
    <row r="91" spans="1:12">
      <c r="A91" t="str">
        <f t="shared" si="3"/>
        <v>P.R. China-worker</v>
      </c>
      <c r="B91" t="s">
        <v>36</v>
      </c>
      <c r="C91" t="s">
        <v>257</v>
      </c>
      <c r="D91" s="4"/>
      <c r="E91" s="4"/>
      <c r="F91" s="4"/>
      <c r="G91" t="s">
        <v>94</v>
      </c>
      <c r="H91" s="12" t="s">
        <v>217</v>
      </c>
      <c r="I91" s="15">
        <v>12262</v>
      </c>
      <c r="J91" s="15" t="s">
        <v>48</v>
      </c>
      <c r="K91" s="2"/>
      <c r="L91" s="2"/>
    </row>
    <row r="92" spans="1:12">
      <c r="A92" t="str">
        <f t="shared" si="3"/>
        <v>P.R. China-worker</v>
      </c>
      <c r="B92" t="s">
        <v>36</v>
      </c>
      <c r="C92" t="s">
        <v>257</v>
      </c>
      <c r="D92" s="4"/>
      <c r="E92" s="4"/>
      <c r="F92" s="4"/>
      <c r="G92" t="s">
        <v>224</v>
      </c>
      <c r="H92" s="2">
        <v>1</v>
      </c>
      <c r="I92" s="2"/>
      <c r="J92" s="2"/>
      <c r="K92" s="2" t="s">
        <v>199</v>
      </c>
      <c r="L92" s="2" t="s">
        <v>200</v>
      </c>
    </row>
    <row r="93" spans="1:12">
      <c r="A93" t="str">
        <f t="shared" si="3"/>
        <v>P.R. China-worker</v>
      </c>
      <c r="B93" t="s">
        <v>36</v>
      </c>
      <c r="C93" t="s">
        <v>257</v>
      </c>
      <c r="D93" s="4"/>
      <c r="E93" s="4"/>
      <c r="F93" s="4"/>
      <c r="G93" t="s">
        <v>80</v>
      </c>
      <c r="H93" s="2">
        <v>1</v>
      </c>
      <c r="I93" s="2"/>
      <c r="J93" s="2"/>
      <c r="K93" s="2" t="s">
        <v>24</v>
      </c>
      <c r="L93" s="2" t="s">
        <v>25</v>
      </c>
    </row>
    <row r="94" spans="1:12">
      <c r="A94" t="str">
        <f t="shared" si="3"/>
        <v>P.R. China-worker</v>
      </c>
      <c r="B94" t="s">
        <v>36</v>
      </c>
      <c r="C94" t="s">
        <v>257</v>
      </c>
      <c r="D94" s="4"/>
      <c r="E94" s="4"/>
      <c r="F94" s="4"/>
      <c r="G94" t="s">
        <v>211</v>
      </c>
      <c r="H94" s="2">
        <v>1</v>
      </c>
      <c r="I94" s="2"/>
      <c r="J94" s="2"/>
      <c r="K94" s="2" t="s">
        <v>199</v>
      </c>
      <c r="L94" s="2" t="s">
        <v>200</v>
      </c>
    </row>
    <row r="95" spans="1:12">
      <c r="A95" t="str">
        <f t="shared" si="3"/>
        <v>P.R. China-worker</v>
      </c>
      <c r="B95" t="s">
        <v>36</v>
      </c>
      <c r="C95" t="s">
        <v>257</v>
      </c>
      <c r="D95" s="4"/>
      <c r="E95" s="4"/>
      <c r="F95" s="4"/>
      <c r="G95" t="s">
        <v>66</v>
      </c>
      <c r="H95" s="11" t="s">
        <v>217</v>
      </c>
      <c r="I95" s="15">
        <v>11109</v>
      </c>
      <c r="J95" s="15" t="s">
        <v>32</v>
      </c>
      <c r="K95" s="2"/>
      <c r="L95" s="2"/>
    </row>
    <row r="96" spans="1:12">
      <c r="A96" t="str">
        <f t="shared" si="3"/>
        <v>P.R. China-worker</v>
      </c>
      <c r="B96" t="s">
        <v>36</v>
      </c>
      <c r="C96" t="s">
        <v>257</v>
      </c>
      <c r="D96" s="4"/>
      <c r="E96" s="4"/>
      <c r="F96" s="4"/>
      <c r="G96" t="s">
        <v>58</v>
      </c>
      <c r="H96" s="12" t="s">
        <v>217</v>
      </c>
      <c r="I96" t="s">
        <v>59</v>
      </c>
      <c r="J96" t="s">
        <v>202</v>
      </c>
      <c r="K96" s="2"/>
      <c r="L96" s="2"/>
    </row>
    <row r="97" spans="1:12">
      <c r="A97" t="str">
        <f t="shared" si="3"/>
        <v>P.R. China-worker</v>
      </c>
      <c r="B97" t="s">
        <v>36</v>
      </c>
      <c r="C97" t="s">
        <v>257</v>
      </c>
      <c r="D97" s="4"/>
      <c r="E97" s="4"/>
      <c r="F97" s="4"/>
      <c r="G97" t="s">
        <v>225</v>
      </c>
      <c r="H97" s="2">
        <v>1</v>
      </c>
      <c r="I97" s="2"/>
      <c r="J97" s="2"/>
      <c r="K97" s="2" t="s">
        <v>199</v>
      </c>
      <c r="L97" s="2" t="s">
        <v>200</v>
      </c>
    </row>
    <row r="98" spans="1:12">
      <c r="A98" t="str">
        <f t="shared" si="3"/>
        <v>P.R. China-worker</v>
      </c>
      <c r="B98" t="s">
        <v>36</v>
      </c>
      <c r="C98" t="s">
        <v>257</v>
      </c>
      <c r="D98" s="4"/>
      <c r="E98" s="4"/>
      <c r="F98" s="4"/>
      <c r="G98" t="s">
        <v>226</v>
      </c>
      <c r="H98" s="2">
        <v>1</v>
      </c>
      <c r="I98" s="2"/>
      <c r="J98" s="2"/>
      <c r="K98" s="2" t="s">
        <v>199</v>
      </c>
      <c r="L98" s="2" t="s">
        <v>200</v>
      </c>
    </row>
    <row r="99" spans="1:12">
      <c r="A99" t="str">
        <f t="shared" si="3"/>
        <v>P.R. China-worker</v>
      </c>
      <c r="B99" t="s">
        <v>36</v>
      </c>
      <c r="C99" t="s">
        <v>257</v>
      </c>
      <c r="D99" s="4"/>
      <c r="E99" s="4"/>
      <c r="F99" s="4"/>
      <c r="G99" t="s">
        <v>227</v>
      </c>
      <c r="H99" s="2">
        <v>1</v>
      </c>
      <c r="I99" s="2"/>
      <c r="J99" s="2"/>
      <c r="K99" s="2" t="s">
        <v>199</v>
      </c>
      <c r="L99" s="2" t="s">
        <v>200</v>
      </c>
    </row>
  </sheetData>
  <autoFilter xmlns:etc="http://www.wps.cn/officeDocument/2017/etCustomData" ref="A1:L99" etc:filterBottomFollowUsedRange="0">
    <extLst/>
  </autoFilter>
  <mergeCells count="3">
    <mergeCell ref="H3:L71"/>
    <mergeCell ref="A72:L74"/>
    <mergeCell ref="D75:F99"/>
  </mergeCells>
  <dataValidations count="6">
    <dataValidation allowBlank="1" showInputMessage="1" showErrorMessage="1" promptTitle="注意，此处是初步标签" prompt="注意，此处是初步标签" sqref="F1 F3:F1048576"/>
    <dataValidation allowBlank="1" showInputMessage="1" showErrorMessage="1" promptTitle="注意，这个是研判后标签" prompt="注意，这个是研判后标签" sqref="G1 G3:G71 G102:G1048576"/>
    <dataValidation type="list" allowBlank="1" showInputMessage="1" showErrorMessage="1" sqref="B3:B1048576">
      <formula1>"user,worker,tech,gov"</formula1>
    </dataValidation>
    <dataValidation type="list" allowBlank="1" showInputMessage="1" showErrorMessage="1" sqref="C3:C1048576">
      <formula1>"P.R. China,United States,European Union,Kenya"</formula1>
    </dataValidation>
    <dataValidation type="list" allowBlank="1" showInputMessage="1" showErrorMessage="1" sqref="D3:D71 D100:D1048576">
      <formula1>"DeepSeek Reasoner V3.2,OpenAI ChatGPT 5.4 Pro,Google Gemini 3.1 Pro Preview,Doubao Seed 2.0 Pro"</formula1>
    </dataValidation>
    <dataValidation type="list" allowBlank="1" showInputMessage="1" showErrorMessage="1" sqref="L3:L1048576">
      <formula1>"1(4/4),0.75(3/4),0.6(2/4+votepass),0.4(2/4+votedenied),0.25(1/4)"</formula1>
    </dataValidation>
  </dataValidations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1"/>
  <sheetViews>
    <sheetView zoomScale="85" zoomScaleNormal="85" workbookViewId="0">
      <pane ySplit="2" topLeftCell="A66" activePane="bottomLeft" state="frozen"/>
      <selection/>
      <selection pane="bottomLeft" activeCell="E94" sqref="E94"/>
    </sheetView>
  </sheetViews>
  <sheetFormatPr defaultColWidth="8.61261261261261" defaultRowHeight="14.1"/>
  <cols>
    <col min="1" max="1" width="20.7117117117117" customWidth="1"/>
    <col min="2" max="2" width="11.7027027027027" customWidth="1"/>
    <col min="3" max="3" width="19.5495495495495" customWidth="1"/>
    <col min="4" max="4" width="25.1621621621622" customWidth="1"/>
    <col min="5" max="5" width="12.8558558558559" customWidth="1"/>
    <col min="6" max="6" width="24.7297297297297" customWidth="1"/>
    <col min="7" max="7" width="34.0810810810811" customWidth="1"/>
    <col min="8" max="8" width="11.7027027027027" customWidth="1"/>
    <col min="9" max="9" width="13.9369369369369" customWidth="1"/>
    <col min="10" max="10" width="11.7027027027027" customWidth="1"/>
    <col min="11" max="11" width="20.7117117117117" customWidth="1"/>
    <col min="12" max="12" width="17.3243243243243" customWidth="1"/>
  </cols>
  <sheetData>
    <row r="1" spans="1:12">
      <c r="A1" t="s">
        <v>6</v>
      </c>
      <c r="B1" t="s">
        <v>266</v>
      </c>
      <c r="C1" t="s">
        <v>267</v>
      </c>
      <c r="D1" t="s">
        <v>268</v>
      </c>
      <c r="E1" t="s">
        <v>269</v>
      </c>
      <c r="F1" t="s">
        <v>270</v>
      </c>
      <c r="G1" t="s">
        <v>271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  <row r="2" spans="1:12">
      <c r="A2" t="s">
        <v>272</v>
      </c>
      <c r="B2" t="s">
        <v>272</v>
      </c>
      <c r="C2" t="s">
        <v>272</v>
      </c>
      <c r="D2" t="s">
        <v>272</v>
      </c>
      <c r="E2" t="str">
        <f t="shared" ref="E2:E65" si="0">IF(OR(D2="Doubao Seed 2.0 Pro",D2="DeepSeek Reasoner V3.2"),"China","US")</f>
        <v>US</v>
      </c>
      <c r="F2" t="s">
        <v>272</v>
      </c>
      <c r="G2" t="s">
        <v>272</v>
      </c>
      <c r="H2" t="s">
        <v>272</v>
      </c>
      <c r="I2">
        <f ca="1">RANDBETWEEN(10000,99999)</f>
        <v>68035</v>
      </c>
      <c r="J2" t="str">
        <f ca="1">IF(MOD(I2,2)=0,"China-backup","US-backup")</f>
        <v>US-backup</v>
      </c>
      <c r="K2" t="s">
        <v>272</v>
      </c>
      <c r="L2" t="s">
        <v>272</v>
      </c>
    </row>
    <row r="3" spans="1:12">
      <c r="A3" t="str">
        <f t="shared" ref="A3:A66" si="1">C3&amp;"-"&amp;B3</f>
        <v>P.R. China-user</v>
      </c>
      <c r="B3" t="s">
        <v>42</v>
      </c>
      <c r="C3" t="s">
        <v>257</v>
      </c>
      <c r="D3" t="s">
        <v>273</v>
      </c>
      <c r="E3" t="str">
        <f t="shared" si="0"/>
        <v>China</v>
      </c>
      <c r="F3" t="s">
        <v>420</v>
      </c>
      <c r="G3" t="s">
        <v>128</v>
      </c>
      <c r="H3" s="4" t="s">
        <v>197</v>
      </c>
      <c r="I3" s="4"/>
      <c r="J3" s="4"/>
      <c r="K3" s="4"/>
      <c r="L3" s="4"/>
    </row>
    <row r="4" ht="11" customHeight="1" spans="1:12">
      <c r="A4" t="str">
        <f t="shared" si="1"/>
        <v>P.R. China-user</v>
      </c>
      <c r="B4" t="s">
        <v>42</v>
      </c>
      <c r="C4" t="s">
        <v>257</v>
      </c>
      <c r="D4" t="s">
        <v>273</v>
      </c>
      <c r="E4" t="str">
        <f t="shared" si="0"/>
        <v>China</v>
      </c>
      <c r="F4" t="s">
        <v>121</v>
      </c>
      <c r="G4" t="s">
        <v>121</v>
      </c>
      <c r="H4" s="4"/>
      <c r="I4" s="4"/>
      <c r="J4" s="4"/>
      <c r="K4" s="4"/>
      <c r="L4" s="4"/>
    </row>
    <row r="5" spans="1:12">
      <c r="A5" t="str">
        <f t="shared" si="1"/>
        <v>P.R. China-user</v>
      </c>
      <c r="B5" t="s">
        <v>42</v>
      </c>
      <c r="C5" t="s">
        <v>257</v>
      </c>
      <c r="D5" t="s">
        <v>273</v>
      </c>
      <c r="E5" t="str">
        <f t="shared" si="0"/>
        <v>China</v>
      </c>
      <c r="F5" t="s">
        <v>80</v>
      </c>
      <c r="G5" t="s">
        <v>80</v>
      </c>
      <c r="H5" s="4"/>
      <c r="I5" s="4"/>
      <c r="J5" s="4"/>
      <c r="K5" s="4"/>
      <c r="L5" s="4"/>
    </row>
    <row r="6" spans="1:12">
      <c r="A6" t="str">
        <f t="shared" si="1"/>
        <v>P.R. China-user</v>
      </c>
      <c r="B6" t="s">
        <v>42</v>
      </c>
      <c r="C6" t="s">
        <v>257</v>
      </c>
      <c r="D6" t="s">
        <v>273</v>
      </c>
      <c r="E6" t="str">
        <f t="shared" si="0"/>
        <v>China</v>
      </c>
      <c r="F6" t="s">
        <v>294</v>
      </c>
      <c r="G6" t="s">
        <v>122</v>
      </c>
      <c r="H6" s="4"/>
      <c r="I6" s="4"/>
      <c r="J6" s="4"/>
      <c r="K6" s="4"/>
      <c r="L6" s="4"/>
    </row>
    <row r="7" spans="1:12">
      <c r="A7" t="str">
        <f t="shared" si="1"/>
        <v>P.R. China-user</v>
      </c>
      <c r="B7" t="s">
        <v>42</v>
      </c>
      <c r="C7" t="s">
        <v>257</v>
      </c>
      <c r="D7" t="s">
        <v>273</v>
      </c>
      <c r="E7" t="str">
        <f t="shared" si="0"/>
        <v>China</v>
      </c>
      <c r="F7" t="s">
        <v>281</v>
      </c>
      <c r="G7" t="s">
        <v>121</v>
      </c>
      <c r="H7" s="4"/>
      <c r="I7" s="4"/>
      <c r="J7" s="4"/>
      <c r="K7" s="4"/>
      <c r="L7" s="4"/>
    </row>
    <row r="8" spans="1:12">
      <c r="A8" t="str">
        <f t="shared" si="1"/>
        <v>P.R. China-user</v>
      </c>
      <c r="B8" t="s">
        <v>42</v>
      </c>
      <c r="C8" t="s">
        <v>257</v>
      </c>
      <c r="D8" t="s">
        <v>273</v>
      </c>
      <c r="E8" t="str">
        <f t="shared" si="0"/>
        <v>China</v>
      </c>
      <c r="F8" t="s">
        <v>421</v>
      </c>
      <c r="G8" t="s">
        <v>232</v>
      </c>
      <c r="H8" s="4"/>
      <c r="I8" s="4"/>
      <c r="J8" s="4"/>
      <c r="K8" s="4"/>
      <c r="L8" s="4"/>
    </row>
    <row r="9" spans="1:12">
      <c r="A9" t="str">
        <f t="shared" si="1"/>
        <v>P.R. China-user</v>
      </c>
      <c r="B9" t="s">
        <v>42</v>
      </c>
      <c r="C9" t="s">
        <v>257</v>
      </c>
      <c r="D9" t="s">
        <v>273</v>
      </c>
      <c r="E9" t="str">
        <f t="shared" si="0"/>
        <v>China</v>
      </c>
      <c r="F9" t="s">
        <v>292</v>
      </c>
      <c r="G9" t="s">
        <v>107</v>
      </c>
      <c r="H9" s="4"/>
      <c r="I9" s="4"/>
      <c r="J9" s="4"/>
      <c r="K9" s="4"/>
      <c r="L9" s="4"/>
    </row>
    <row r="10" spans="1:12">
      <c r="A10" t="str">
        <f t="shared" si="1"/>
        <v>P.R. China-user</v>
      </c>
      <c r="B10" t="s">
        <v>42</v>
      </c>
      <c r="C10" t="s">
        <v>257</v>
      </c>
      <c r="D10" t="s">
        <v>273</v>
      </c>
      <c r="E10" t="str">
        <f t="shared" si="0"/>
        <v>China</v>
      </c>
      <c r="F10" t="s">
        <v>422</v>
      </c>
      <c r="G10" t="s">
        <v>80</v>
      </c>
      <c r="H10" s="4"/>
      <c r="I10" s="4"/>
      <c r="J10" s="4"/>
      <c r="K10" s="4"/>
      <c r="L10" s="4"/>
    </row>
    <row r="11" spans="1:12">
      <c r="A11" t="str">
        <f t="shared" si="1"/>
        <v>P.R. China-user</v>
      </c>
      <c r="B11" t="s">
        <v>42</v>
      </c>
      <c r="C11" t="s">
        <v>257</v>
      </c>
      <c r="D11" t="s">
        <v>273</v>
      </c>
      <c r="E11" t="str">
        <f t="shared" si="0"/>
        <v>China</v>
      </c>
      <c r="F11" t="s">
        <v>112</v>
      </c>
      <c r="G11" t="s">
        <v>112</v>
      </c>
      <c r="H11" s="4"/>
      <c r="I11" s="4"/>
      <c r="J11" s="4"/>
      <c r="K11" s="4"/>
      <c r="L11" s="4"/>
    </row>
    <row r="12" spans="1:12">
      <c r="A12" t="str">
        <f t="shared" si="1"/>
        <v>P.R. China-user</v>
      </c>
      <c r="B12" t="s">
        <v>42</v>
      </c>
      <c r="C12" t="s">
        <v>257</v>
      </c>
      <c r="D12" t="s">
        <v>273</v>
      </c>
      <c r="E12" t="str">
        <f t="shared" si="0"/>
        <v>China</v>
      </c>
      <c r="F12" t="s">
        <v>423</v>
      </c>
      <c r="G12" t="s">
        <v>116</v>
      </c>
      <c r="H12" s="4"/>
      <c r="I12" s="4"/>
      <c r="J12" s="4"/>
      <c r="K12" s="4"/>
      <c r="L12" s="4"/>
    </row>
    <row r="13" spans="1:12">
      <c r="A13" t="str">
        <f t="shared" si="1"/>
        <v>P.R. China-user</v>
      </c>
      <c r="B13" t="s">
        <v>42</v>
      </c>
      <c r="C13" t="s">
        <v>257</v>
      </c>
      <c r="D13" t="s">
        <v>273</v>
      </c>
      <c r="E13" t="str">
        <f t="shared" si="0"/>
        <v>China</v>
      </c>
      <c r="F13" t="s">
        <v>285</v>
      </c>
      <c r="G13" t="s">
        <v>113</v>
      </c>
      <c r="H13" s="4"/>
      <c r="I13" s="4"/>
      <c r="J13" s="4"/>
      <c r="K13" s="4"/>
      <c r="L13" s="4"/>
    </row>
    <row r="14" spans="1:12">
      <c r="A14" t="str">
        <f t="shared" si="1"/>
        <v>P.R. China-user</v>
      </c>
      <c r="B14" t="s">
        <v>42</v>
      </c>
      <c r="C14" t="s">
        <v>257</v>
      </c>
      <c r="D14" t="s">
        <v>273</v>
      </c>
      <c r="E14" t="str">
        <f t="shared" si="0"/>
        <v>China</v>
      </c>
      <c r="F14" t="s">
        <v>338</v>
      </c>
      <c r="G14" t="s">
        <v>117</v>
      </c>
      <c r="H14" s="4"/>
      <c r="I14" s="4"/>
      <c r="J14" s="4"/>
      <c r="K14" s="4"/>
      <c r="L14" s="4"/>
    </row>
    <row r="15" spans="1:12">
      <c r="A15" t="str">
        <f t="shared" si="1"/>
        <v>P.R. China-user</v>
      </c>
      <c r="B15" t="s">
        <v>42</v>
      </c>
      <c r="C15" t="s">
        <v>257</v>
      </c>
      <c r="D15" t="s">
        <v>273</v>
      </c>
      <c r="E15" t="str">
        <f t="shared" si="0"/>
        <v>China</v>
      </c>
      <c r="F15" t="s">
        <v>418</v>
      </c>
      <c r="G15" t="s">
        <v>123</v>
      </c>
      <c r="H15" s="4"/>
      <c r="I15" s="4"/>
      <c r="J15" s="4"/>
      <c r="K15" s="4"/>
      <c r="L15" s="4"/>
    </row>
    <row r="16" spans="1:12">
      <c r="A16" t="str">
        <f t="shared" si="1"/>
        <v>P.R. China-user</v>
      </c>
      <c r="B16" t="s">
        <v>42</v>
      </c>
      <c r="C16" t="s">
        <v>257</v>
      </c>
      <c r="D16" t="s">
        <v>297</v>
      </c>
      <c r="E16" t="str">
        <f t="shared" si="0"/>
        <v>China</v>
      </c>
      <c r="F16" t="s">
        <v>420</v>
      </c>
      <c r="G16" t="s">
        <v>128</v>
      </c>
      <c r="H16" s="4"/>
      <c r="I16" s="4"/>
      <c r="J16" s="4"/>
      <c r="K16" s="4"/>
      <c r="L16" s="4"/>
    </row>
    <row r="17" spans="1:12">
      <c r="A17" t="str">
        <f t="shared" si="1"/>
        <v>P.R. China-user</v>
      </c>
      <c r="B17" t="s">
        <v>42</v>
      </c>
      <c r="C17" t="s">
        <v>257</v>
      </c>
      <c r="D17" t="s">
        <v>297</v>
      </c>
      <c r="E17" t="str">
        <f t="shared" si="0"/>
        <v>China</v>
      </c>
      <c r="F17" t="s">
        <v>80</v>
      </c>
      <c r="G17" t="s">
        <v>80</v>
      </c>
      <c r="H17" s="4"/>
      <c r="I17" s="4"/>
      <c r="J17" s="4"/>
      <c r="K17" s="4"/>
      <c r="L17" s="4"/>
    </row>
    <row r="18" spans="1:12">
      <c r="A18" t="str">
        <f t="shared" si="1"/>
        <v>P.R. China-user</v>
      </c>
      <c r="B18" t="s">
        <v>42</v>
      </c>
      <c r="C18" t="s">
        <v>257</v>
      </c>
      <c r="D18" t="s">
        <v>297</v>
      </c>
      <c r="E18" t="str">
        <f t="shared" si="0"/>
        <v>China</v>
      </c>
      <c r="F18" t="s">
        <v>286</v>
      </c>
      <c r="G18" t="s">
        <v>124</v>
      </c>
      <c r="H18" s="4"/>
      <c r="I18" s="4"/>
      <c r="J18" s="4"/>
      <c r="K18" s="4"/>
      <c r="L18" s="4"/>
    </row>
    <row r="19" spans="1:12">
      <c r="A19" t="str">
        <f t="shared" si="1"/>
        <v>P.R. China-user</v>
      </c>
      <c r="B19" t="s">
        <v>42</v>
      </c>
      <c r="C19" t="s">
        <v>257</v>
      </c>
      <c r="D19" t="s">
        <v>297</v>
      </c>
      <c r="E19" t="str">
        <f t="shared" si="0"/>
        <v>China</v>
      </c>
      <c r="F19" t="s">
        <v>292</v>
      </c>
      <c r="G19" t="s">
        <v>107</v>
      </c>
      <c r="H19" s="4"/>
      <c r="I19" s="4"/>
      <c r="J19" s="4"/>
      <c r="K19" s="4"/>
      <c r="L19" s="4"/>
    </row>
    <row r="20" spans="1:12">
      <c r="A20" t="str">
        <f t="shared" si="1"/>
        <v>P.R. China-user</v>
      </c>
      <c r="B20" t="s">
        <v>42</v>
      </c>
      <c r="C20" t="s">
        <v>257</v>
      </c>
      <c r="D20" t="s">
        <v>297</v>
      </c>
      <c r="E20" t="str">
        <f t="shared" si="0"/>
        <v>China</v>
      </c>
      <c r="F20" t="s">
        <v>285</v>
      </c>
      <c r="G20" t="s">
        <v>113</v>
      </c>
      <c r="H20" s="4"/>
      <c r="I20" s="4"/>
      <c r="J20" s="4"/>
      <c r="K20" s="4"/>
      <c r="L20" s="4"/>
    </row>
    <row r="21" spans="1:12">
      <c r="A21" t="str">
        <f t="shared" si="1"/>
        <v>P.R. China-user</v>
      </c>
      <c r="B21" t="s">
        <v>42</v>
      </c>
      <c r="C21" t="s">
        <v>257</v>
      </c>
      <c r="D21" t="s">
        <v>297</v>
      </c>
      <c r="E21" t="str">
        <f t="shared" si="0"/>
        <v>China</v>
      </c>
      <c r="F21" t="s">
        <v>424</v>
      </c>
      <c r="G21" t="s">
        <v>47</v>
      </c>
      <c r="H21" s="4"/>
      <c r="I21" s="4"/>
      <c r="J21" s="4"/>
      <c r="K21" s="4"/>
      <c r="L21" s="4"/>
    </row>
    <row r="22" spans="1:12">
      <c r="A22" t="str">
        <f t="shared" si="1"/>
        <v>P.R. China-user</v>
      </c>
      <c r="B22" t="s">
        <v>42</v>
      </c>
      <c r="C22" t="s">
        <v>257</v>
      </c>
      <c r="D22" t="s">
        <v>297</v>
      </c>
      <c r="E22" t="str">
        <f t="shared" si="0"/>
        <v>China</v>
      </c>
      <c r="F22" t="s">
        <v>418</v>
      </c>
      <c r="G22" t="s">
        <v>123</v>
      </c>
      <c r="H22" s="4"/>
      <c r="I22" s="4"/>
      <c r="J22" s="4"/>
      <c r="K22" s="4"/>
      <c r="L22" s="4"/>
    </row>
    <row r="23" spans="1:12">
      <c r="A23" t="str">
        <f t="shared" si="1"/>
        <v>P.R. China-user</v>
      </c>
      <c r="B23" t="s">
        <v>42</v>
      </c>
      <c r="C23" t="s">
        <v>257</v>
      </c>
      <c r="D23" t="s">
        <v>297</v>
      </c>
      <c r="E23" t="str">
        <f t="shared" si="0"/>
        <v>China</v>
      </c>
      <c r="F23" t="s">
        <v>287</v>
      </c>
      <c r="G23" t="s">
        <v>124</v>
      </c>
      <c r="H23" s="4"/>
      <c r="I23" s="4"/>
      <c r="J23" s="4"/>
      <c r="K23" s="4"/>
      <c r="L23" s="4"/>
    </row>
    <row r="24" spans="1:12">
      <c r="A24" t="str">
        <f t="shared" si="1"/>
        <v>P.R. China-user</v>
      </c>
      <c r="B24" t="s">
        <v>42</v>
      </c>
      <c r="C24" t="s">
        <v>257</v>
      </c>
      <c r="D24" t="s">
        <v>297</v>
      </c>
      <c r="E24" t="str">
        <f t="shared" si="0"/>
        <v>China</v>
      </c>
      <c r="F24" t="s">
        <v>274</v>
      </c>
      <c r="G24" t="s">
        <v>121</v>
      </c>
      <c r="H24" s="4"/>
      <c r="I24" s="4"/>
      <c r="J24" s="4"/>
      <c r="K24" s="4"/>
      <c r="L24" s="4"/>
    </row>
    <row r="25" spans="1:12">
      <c r="A25" t="str">
        <f t="shared" si="1"/>
        <v>P.R. China-user</v>
      </c>
      <c r="B25" t="s">
        <v>42</v>
      </c>
      <c r="C25" t="s">
        <v>257</v>
      </c>
      <c r="D25" t="s">
        <v>297</v>
      </c>
      <c r="E25" t="str">
        <f t="shared" si="0"/>
        <v>China</v>
      </c>
      <c r="F25" t="s">
        <v>425</v>
      </c>
      <c r="G25" t="s">
        <v>47</v>
      </c>
      <c r="H25" s="4"/>
      <c r="I25" s="4"/>
      <c r="J25" s="4"/>
      <c r="K25" s="4"/>
      <c r="L25" s="4"/>
    </row>
    <row r="26" spans="1:12">
      <c r="A26" t="str">
        <f t="shared" si="1"/>
        <v>P.R. China-user</v>
      </c>
      <c r="B26" t="s">
        <v>42</v>
      </c>
      <c r="C26" t="s">
        <v>257</v>
      </c>
      <c r="D26" t="s">
        <v>297</v>
      </c>
      <c r="E26" t="str">
        <f t="shared" si="0"/>
        <v>China</v>
      </c>
      <c r="F26" t="s">
        <v>426</v>
      </c>
      <c r="G26" t="s">
        <v>125</v>
      </c>
      <c r="H26" s="4"/>
      <c r="I26" s="4"/>
      <c r="J26" s="4"/>
      <c r="K26" s="4"/>
      <c r="L26" s="4"/>
    </row>
    <row r="27" spans="1:12">
      <c r="A27" t="str">
        <f t="shared" si="1"/>
        <v>P.R. China-user</v>
      </c>
      <c r="B27" t="s">
        <v>42</v>
      </c>
      <c r="C27" t="s">
        <v>257</v>
      </c>
      <c r="D27" t="s">
        <v>297</v>
      </c>
      <c r="E27" t="str">
        <f t="shared" si="0"/>
        <v>China</v>
      </c>
      <c r="F27" t="s">
        <v>325</v>
      </c>
      <c r="G27" t="s">
        <v>122</v>
      </c>
      <c r="H27" s="4"/>
      <c r="I27" s="4"/>
      <c r="J27" s="4"/>
      <c r="K27" s="4"/>
      <c r="L27" s="4"/>
    </row>
    <row r="28" spans="1:12">
      <c r="A28" t="str">
        <f t="shared" si="1"/>
        <v>P.R. China-user</v>
      </c>
      <c r="B28" t="s">
        <v>42</v>
      </c>
      <c r="C28" t="s">
        <v>257</v>
      </c>
      <c r="D28" t="s">
        <v>297</v>
      </c>
      <c r="E28" t="str">
        <f t="shared" si="0"/>
        <v>China</v>
      </c>
      <c r="F28" t="s">
        <v>427</v>
      </c>
      <c r="G28" t="s">
        <v>116</v>
      </c>
      <c r="H28" s="4"/>
      <c r="I28" s="4"/>
      <c r="J28" s="4"/>
      <c r="K28" s="4"/>
      <c r="L28" s="4"/>
    </row>
    <row r="29" spans="1:12">
      <c r="A29" t="str">
        <f t="shared" si="1"/>
        <v>P.R. China-user</v>
      </c>
      <c r="B29" t="s">
        <v>42</v>
      </c>
      <c r="C29" t="s">
        <v>257</v>
      </c>
      <c r="D29" t="s">
        <v>297</v>
      </c>
      <c r="E29" t="str">
        <f t="shared" si="0"/>
        <v>China</v>
      </c>
      <c r="F29" t="s">
        <v>428</v>
      </c>
      <c r="G29" t="s">
        <v>47</v>
      </c>
      <c r="H29" s="4"/>
      <c r="I29" s="4"/>
      <c r="J29" s="4"/>
      <c r="K29" s="4"/>
      <c r="L29" s="4"/>
    </row>
    <row r="30" spans="1:12">
      <c r="A30" t="str">
        <f t="shared" si="1"/>
        <v>P.R. China-user</v>
      </c>
      <c r="B30" t="s">
        <v>42</v>
      </c>
      <c r="C30" t="s">
        <v>257</v>
      </c>
      <c r="D30" t="s">
        <v>297</v>
      </c>
      <c r="E30" t="str">
        <f t="shared" si="0"/>
        <v>China</v>
      </c>
      <c r="F30" t="s">
        <v>429</v>
      </c>
      <c r="G30" t="s">
        <v>47</v>
      </c>
      <c r="H30" s="4"/>
      <c r="I30" s="4"/>
      <c r="J30" s="4"/>
      <c r="K30" s="4"/>
      <c r="L30" s="4"/>
    </row>
    <row r="31" spans="1:12">
      <c r="A31" t="str">
        <f t="shared" si="1"/>
        <v>P.R. China-user</v>
      </c>
      <c r="B31" t="s">
        <v>42</v>
      </c>
      <c r="C31" t="s">
        <v>257</v>
      </c>
      <c r="D31" t="s">
        <v>297</v>
      </c>
      <c r="E31" t="str">
        <f t="shared" si="0"/>
        <v>China</v>
      </c>
      <c r="F31" t="s">
        <v>430</v>
      </c>
      <c r="G31" t="s">
        <v>228</v>
      </c>
      <c r="H31" s="4"/>
      <c r="I31" s="4"/>
      <c r="J31" s="4"/>
      <c r="K31" s="4"/>
      <c r="L31" s="4"/>
    </row>
    <row r="32" spans="1:12">
      <c r="A32" t="str">
        <f t="shared" si="1"/>
        <v>P.R. China-user</v>
      </c>
      <c r="B32" t="s">
        <v>42</v>
      </c>
      <c r="C32" t="s">
        <v>257</v>
      </c>
      <c r="D32" t="s">
        <v>297</v>
      </c>
      <c r="E32" t="str">
        <f t="shared" si="0"/>
        <v>China</v>
      </c>
      <c r="F32" t="s">
        <v>431</v>
      </c>
      <c r="G32" t="s">
        <v>128</v>
      </c>
      <c r="H32" s="4"/>
      <c r="I32" s="4"/>
      <c r="J32" s="4"/>
      <c r="K32" s="4"/>
      <c r="L32" s="4"/>
    </row>
    <row r="33" spans="1:12">
      <c r="A33" t="str">
        <f t="shared" si="1"/>
        <v>P.R. China-user</v>
      </c>
      <c r="B33" t="s">
        <v>42</v>
      </c>
      <c r="C33" t="s">
        <v>257</v>
      </c>
      <c r="D33" t="s">
        <v>297</v>
      </c>
      <c r="E33" t="str">
        <f t="shared" si="0"/>
        <v>China</v>
      </c>
      <c r="F33" t="s">
        <v>418</v>
      </c>
      <c r="G33" t="s">
        <v>123</v>
      </c>
      <c r="H33" s="4"/>
      <c r="I33" s="4"/>
      <c r="J33" s="4"/>
      <c r="K33" s="4"/>
      <c r="L33" s="4"/>
    </row>
    <row r="34" spans="1:12">
      <c r="A34" t="str">
        <f t="shared" si="1"/>
        <v>P.R. China-user</v>
      </c>
      <c r="B34" t="s">
        <v>42</v>
      </c>
      <c r="C34" t="s">
        <v>257</v>
      </c>
      <c r="D34" t="s">
        <v>297</v>
      </c>
      <c r="E34" t="str">
        <f t="shared" si="0"/>
        <v>China</v>
      </c>
      <c r="F34" t="s">
        <v>432</v>
      </c>
      <c r="G34" t="s">
        <v>116</v>
      </c>
      <c r="H34" s="4"/>
      <c r="I34" s="4"/>
      <c r="J34" s="4"/>
      <c r="K34" s="4"/>
      <c r="L34" s="4"/>
    </row>
    <row r="35" spans="1:12">
      <c r="A35" t="str">
        <f t="shared" si="1"/>
        <v>P.R. China-user</v>
      </c>
      <c r="B35" t="s">
        <v>42</v>
      </c>
      <c r="C35" t="s">
        <v>257</v>
      </c>
      <c r="D35" t="s">
        <v>297</v>
      </c>
      <c r="E35" t="str">
        <f t="shared" si="0"/>
        <v>China</v>
      </c>
      <c r="F35" t="s">
        <v>391</v>
      </c>
      <c r="G35" t="s">
        <v>113</v>
      </c>
      <c r="H35" s="4"/>
      <c r="I35" s="4"/>
      <c r="J35" s="4"/>
      <c r="K35" s="4"/>
      <c r="L35" s="4"/>
    </row>
    <row r="36" spans="1:12">
      <c r="A36" t="str">
        <f t="shared" si="1"/>
        <v>P.R. China-user</v>
      </c>
      <c r="B36" t="s">
        <v>42</v>
      </c>
      <c r="C36" t="s">
        <v>257</v>
      </c>
      <c r="D36" t="s">
        <v>297</v>
      </c>
      <c r="E36" t="str">
        <f t="shared" si="0"/>
        <v>China</v>
      </c>
      <c r="F36" t="s">
        <v>233</v>
      </c>
      <c r="G36" t="s">
        <v>233</v>
      </c>
      <c r="H36" s="4"/>
      <c r="I36" s="4"/>
      <c r="J36" s="4"/>
      <c r="K36" s="4"/>
      <c r="L36" s="4"/>
    </row>
    <row r="37" spans="1:12">
      <c r="A37" t="str">
        <f t="shared" si="1"/>
        <v>P.R. China-user</v>
      </c>
      <c r="B37" t="s">
        <v>42</v>
      </c>
      <c r="C37" t="s">
        <v>257</v>
      </c>
      <c r="D37" t="s">
        <v>314</v>
      </c>
      <c r="E37" t="str">
        <f t="shared" si="0"/>
        <v>US</v>
      </c>
      <c r="F37" t="s">
        <v>420</v>
      </c>
      <c r="G37" t="s">
        <v>128</v>
      </c>
      <c r="H37" s="4"/>
      <c r="I37" s="4"/>
      <c r="J37" s="4"/>
      <c r="K37" s="4"/>
      <c r="L37" s="4"/>
    </row>
    <row r="38" spans="1:12">
      <c r="A38" t="str">
        <f t="shared" si="1"/>
        <v>P.R. China-user</v>
      </c>
      <c r="B38" t="s">
        <v>42</v>
      </c>
      <c r="C38" t="s">
        <v>257</v>
      </c>
      <c r="D38" t="s">
        <v>314</v>
      </c>
      <c r="E38" t="str">
        <f t="shared" si="0"/>
        <v>US</v>
      </c>
      <c r="F38" t="s">
        <v>292</v>
      </c>
      <c r="G38" t="s">
        <v>107</v>
      </c>
      <c r="H38" s="4"/>
      <c r="I38" s="4"/>
      <c r="J38" s="4"/>
      <c r="K38" s="4"/>
      <c r="L38" s="4"/>
    </row>
    <row r="39" spans="1:12">
      <c r="A39" t="str">
        <f t="shared" si="1"/>
        <v>P.R. China-user</v>
      </c>
      <c r="B39" t="s">
        <v>42</v>
      </c>
      <c r="C39" t="s">
        <v>257</v>
      </c>
      <c r="D39" t="s">
        <v>314</v>
      </c>
      <c r="E39" t="str">
        <f t="shared" si="0"/>
        <v>US</v>
      </c>
      <c r="F39" t="s">
        <v>422</v>
      </c>
      <c r="G39" t="s">
        <v>80</v>
      </c>
      <c r="H39" s="4"/>
      <c r="I39" s="4"/>
      <c r="J39" s="4"/>
      <c r="K39" s="4"/>
      <c r="L39" s="4"/>
    </row>
    <row r="40" spans="1:12">
      <c r="A40" t="str">
        <f t="shared" si="1"/>
        <v>P.R. China-user</v>
      </c>
      <c r="B40" t="s">
        <v>42</v>
      </c>
      <c r="C40" t="s">
        <v>257</v>
      </c>
      <c r="D40" t="s">
        <v>314</v>
      </c>
      <c r="E40" t="str">
        <f t="shared" si="0"/>
        <v>US</v>
      </c>
      <c r="F40" t="s">
        <v>121</v>
      </c>
      <c r="G40" t="s">
        <v>121</v>
      </c>
      <c r="H40" s="4"/>
      <c r="I40" s="4"/>
      <c r="J40" s="4"/>
      <c r="K40" s="4"/>
      <c r="L40" s="4"/>
    </row>
    <row r="41" spans="1:12">
      <c r="A41" t="str">
        <f t="shared" si="1"/>
        <v>P.R. China-user</v>
      </c>
      <c r="B41" t="s">
        <v>42</v>
      </c>
      <c r="C41" t="s">
        <v>257</v>
      </c>
      <c r="D41" t="s">
        <v>314</v>
      </c>
      <c r="E41" t="str">
        <f t="shared" si="0"/>
        <v>US</v>
      </c>
      <c r="F41" t="s">
        <v>281</v>
      </c>
      <c r="G41" t="s">
        <v>121</v>
      </c>
      <c r="H41" s="4"/>
      <c r="I41" s="4"/>
      <c r="J41" s="4"/>
      <c r="K41" s="4"/>
      <c r="L41" s="4"/>
    </row>
    <row r="42" spans="1:12">
      <c r="A42" t="str">
        <f t="shared" si="1"/>
        <v>P.R. China-user</v>
      </c>
      <c r="B42" t="s">
        <v>42</v>
      </c>
      <c r="C42" t="s">
        <v>257</v>
      </c>
      <c r="D42" t="s">
        <v>314</v>
      </c>
      <c r="E42" t="str">
        <f t="shared" si="0"/>
        <v>US</v>
      </c>
      <c r="F42" t="s">
        <v>285</v>
      </c>
      <c r="G42" t="s">
        <v>113</v>
      </c>
      <c r="H42" s="4"/>
      <c r="I42" s="4"/>
      <c r="J42" s="4"/>
      <c r="K42" s="4"/>
      <c r="L42" s="4"/>
    </row>
    <row r="43" spans="1:12">
      <c r="A43" t="str">
        <f t="shared" si="1"/>
        <v>P.R. China-user</v>
      </c>
      <c r="B43" t="s">
        <v>42</v>
      </c>
      <c r="C43" t="s">
        <v>257</v>
      </c>
      <c r="D43" t="s">
        <v>314</v>
      </c>
      <c r="E43" t="str">
        <f t="shared" si="0"/>
        <v>US</v>
      </c>
      <c r="F43" t="s">
        <v>433</v>
      </c>
      <c r="G43" t="s">
        <v>116</v>
      </c>
      <c r="H43" s="4"/>
      <c r="I43" s="4"/>
      <c r="J43" s="4"/>
      <c r="K43" s="4"/>
      <c r="L43" s="4"/>
    </row>
    <row r="44" spans="1:12">
      <c r="A44" t="str">
        <f t="shared" si="1"/>
        <v>P.R. China-user</v>
      </c>
      <c r="B44" t="s">
        <v>42</v>
      </c>
      <c r="C44" t="s">
        <v>257</v>
      </c>
      <c r="D44" t="s">
        <v>314</v>
      </c>
      <c r="E44" t="str">
        <f t="shared" si="0"/>
        <v>US</v>
      </c>
      <c r="F44" t="s">
        <v>294</v>
      </c>
      <c r="G44" t="s">
        <v>122</v>
      </c>
      <c r="H44" s="4"/>
      <c r="I44" s="4"/>
      <c r="J44" s="4"/>
      <c r="K44" s="4"/>
      <c r="L44" s="4"/>
    </row>
    <row r="45" spans="1:12">
      <c r="A45" t="str">
        <f t="shared" si="1"/>
        <v>P.R. China-user</v>
      </c>
      <c r="B45" t="s">
        <v>42</v>
      </c>
      <c r="C45" t="s">
        <v>257</v>
      </c>
      <c r="D45" t="s">
        <v>314</v>
      </c>
      <c r="E45" t="str">
        <f t="shared" si="0"/>
        <v>US</v>
      </c>
      <c r="F45" t="s">
        <v>418</v>
      </c>
      <c r="G45" t="s">
        <v>123</v>
      </c>
      <c r="H45" s="4"/>
      <c r="I45" s="4"/>
      <c r="J45" s="4"/>
      <c r="K45" s="4"/>
      <c r="L45" s="4"/>
    </row>
    <row r="46" spans="1:12">
      <c r="A46" t="str">
        <f t="shared" si="1"/>
        <v>P.R. China-user</v>
      </c>
      <c r="B46" t="s">
        <v>42</v>
      </c>
      <c r="C46" t="s">
        <v>257</v>
      </c>
      <c r="D46" t="s">
        <v>329</v>
      </c>
      <c r="E46" t="str">
        <f t="shared" si="0"/>
        <v>US</v>
      </c>
      <c r="F46" t="s">
        <v>422</v>
      </c>
      <c r="G46" t="s">
        <v>80</v>
      </c>
      <c r="H46" s="4"/>
      <c r="I46" s="4"/>
      <c r="J46" s="4"/>
      <c r="K46" s="4"/>
      <c r="L46" s="4"/>
    </row>
    <row r="47" spans="1:12">
      <c r="A47" t="str">
        <f t="shared" si="1"/>
        <v>P.R. China-user</v>
      </c>
      <c r="B47" t="s">
        <v>42</v>
      </c>
      <c r="C47" t="s">
        <v>257</v>
      </c>
      <c r="D47" t="s">
        <v>329</v>
      </c>
      <c r="E47" t="str">
        <f t="shared" si="0"/>
        <v>US</v>
      </c>
      <c r="F47" t="s">
        <v>121</v>
      </c>
      <c r="G47" t="s">
        <v>121</v>
      </c>
      <c r="H47" s="4"/>
      <c r="I47" s="4"/>
      <c r="J47" s="4"/>
      <c r="K47" s="4"/>
      <c r="L47" s="4"/>
    </row>
    <row r="48" spans="1:12">
      <c r="A48" t="str">
        <f t="shared" si="1"/>
        <v>P.R. China-user</v>
      </c>
      <c r="B48" t="s">
        <v>42</v>
      </c>
      <c r="C48" t="s">
        <v>257</v>
      </c>
      <c r="D48" t="s">
        <v>329</v>
      </c>
      <c r="E48" t="str">
        <f t="shared" si="0"/>
        <v>US</v>
      </c>
      <c r="F48" t="s">
        <v>420</v>
      </c>
      <c r="G48" t="s">
        <v>128</v>
      </c>
      <c r="H48" s="4"/>
      <c r="I48" s="4"/>
      <c r="J48" s="4"/>
      <c r="K48" s="4"/>
      <c r="L48" s="4"/>
    </row>
    <row r="49" spans="1:12">
      <c r="A49" t="str">
        <f t="shared" si="1"/>
        <v>P.R. China-user</v>
      </c>
      <c r="B49" t="s">
        <v>42</v>
      </c>
      <c r="C49" t="s">
        <v>257</v>
      </c>
      <c r="D49" t="s">
        <v>329</v>
      </c>
      <c r="E49" t="str">
        <f t="shared" si="0"/>
        <v>US</v>
      </c>
      <c r="F49" t="s">
        <v>281</v>
      </c>
      <c r="G49" t="s">
        <v>121</v>
      </c>
      <c r="H49" s="4"/>
      <c r="I49" s="4"/>
      <c r="J49" s="4"/>
      <c r="K49" s="4"/>
      <c r="L49" s="4"/>
    </row>
    <row r="50" spans="1:12">
      <c r="A50" t="str">
        <f t="shared" si="1"/>
        <v>P.R. China-user</v>
      </c>
      <c r="B50" t="s">
        <v>42</v>
      </c>
      <c r="C50" t="s">
        <v>257</v>
      </c>
      <c r="D50" t="s">
        <v>329</v>
      </c>
      <c r="E50" t="str">
        <f t="shared" si="0"/>
        <v>US</v>
      </c>
      <c r="F50" t="s">
        <v>285</v>
      </c>
      <c r="G50" t="s">
        <v>113</v>
      </c>
      <c r="H50" s="4"/>
      <c r="I50" s="4"/>
      <c r="J50" s="4"/>
      <c r="K50" s="4"/>
      <c r="L50" s="4"/>
    </row>
    <row r="51" spans="1:12">
      <c r="A51" t="str">
        <f t="shared" si="1"/>
        <v>P.R. China-user</v>
      </c>
      <c r="B51" t="s">
        <v>42</v>
      </c>
      <c r="C51" t="s">
        <v>257</v>
      </c>
      <c r="D51" t="s">
        <v>329</v>
      </c>
      <c r="E51" t="str">
        <f t="shared" si="0"/>
        <v>US</v>
      </c>
      <c r="F51" t="s">
        <v>116</v>
      </c>
      <c r="G51" t="s">
        <v>116</v>
      </c>
      <c r="H51" s="4"/>
      <c r="I51" s="4"/>
      <c r="J51" s="4"/>
      <c r="K51" s="4"/>
      <c r="L51" s="4"/>
    </row>
    <row r="52" spans="1:12">
      <c r="A52" t="str">
        <f t="shared" si="1"/>
        <v>P.R. China-user</v>
      </c>
      <c r="B52" t="s">
        <v>42</v>
      </c>
      <c r="C52" t="s">
        <v>257</v>
      </c>
      <c r="D52" t="s">
        <v>329</v>
      </c>
      <c r="E52" t="str">
        <f t="shared" si="0"/>
        <v>US</v>
      </c>
      <c r="F52" t="s">
        <v>325</v>
      </c>
      <c r="G52" t="s">
        <v>122</v>
      </c>
      <c r="H52" s="4"/>
      <c r="I52" s="4"/>
      <c r="J52" s="4"/>
      <c r="K52" s="4"/>
      <c r="L52" s="4"/>
    </row>
    <row r="53" spans="1:12">
      <c r="A53" t="str">
        <f t="shared" si="1"/>
        <v>P.R. China-user</v>
      </c>
      <c r="B53" t="s">
        <v>42</v>
      </c>
      <c r="C53" t="s">
        <v>257</v>
      </c>
      <c r="D53" t="s">
        <v>329</v>
      </c>
      <c r="E53" t="str">
        <f t="shared" si="0"/>
        <v>US</v>
      </c>
      <c r="F53" t="s">
        <v>434</v>
      </c>
      <c r="G53" t="s">
        <v>229</v>
      </c>
      <c r="H53" s="4"/>
      <c r="I53" s="4"/>
      <c r="J53" s="4"/>
      <c r="K53" s="4"/>
      <c r="L53" s="4"/>
    </row>
    <row r="54" spans="1:12">
      <c r="A54" t="str">
        <f t="shared" si="1"/>
        <v>P.R. China-user</v>
      </c>
      <c r="B54" t="s">
        <v>42</v>
      </c>
      <c r="C54" t="s">
        <v>257</v>
      </c>
      <c r="D54" t="s">
        <v>329</v>
      </c>
      <c r="E54" t="str">
        <f t="shared" si="0"/>
        <v>US</v>
      </c>
      <c r="F54" t="s">
        <v>435</v>
      </c>
      <c r="G54" t="s">
        <v>116</v>
      </c>
      <c r="H54" s="4"/>
      <c r="I54" s="4"/>
      <c r="J54" s="4"/>
      <c r="K54" s="4"/>
      <c r="L54" s="4"/>
    </row>
    <row r="55" spans="1:12">
      <c r="A55" t="str">
        <f t="shared" si="1"/>
        <v>P.R. China-user</v>
      </c>
      <c r="B55" t="s">
        <v>42</v>
      </c>
      <c r="C55" t="s">
        <v>257</v>
      </c>
      <c r="D55" t="s">
        <v>329</v>
      </c>
      <c r="E55" t="str">
        <f t="shared" si="0"/>
        <v>US</v>
      </c>
      <c r="F55" t="s">
        <v>436</v>
      </c>
      <c r="G55" t="s">
        <v>47</v>
      </c>
      <c r="H55" s="4"/>
      <c r="I55" s="4"/>
      <c r="J55" s="4"/>
      <c r="K55" s="4"/>
      <c r="L55" s="4"/>
    </row>
    <row r="56" spans="1:12">
      <c r="A56" t="str">
        <f t="shared" si="1"/>
        <v>P.R. China-user</v>
      </c>
      <c r="B56" t="s">
        <v>42</v>
      </c>
      <c r="C56" t="s">
        <v>257</v>
      </c>
      <c r="D56" t="s">
        <v>329</v>
      </c>
      <c r="E56" t="str">
        <f t="shared" si="0"/>
        <v>US</v>
      </c>
      <c r="F56" t="s">
        <v>338</v>
      </c>
      <c r="G56" t="s">
        <v>117</v>
      </c>
      <c r="H56" s="4"/>
      <c r="I56" s="4"/>
      <c r="J56" s="4"/>
      <c r="K56" s="4"/>
      <c r="L56" s="4"/>
    </row>
    <row r="57" spans="1:12">
      <c r="A57" t="str">
        <f t="shared" si="1"/>
        <v>P.R. China-user</v>
      </c>
      <c r="B57" t="s">
        <v>42</v>
      </c>
      <c r="C57" t="s">
        <v>257</v>
      </c>
      <c r="D57" t="s">
        <v>329</v>
      </c>
      <c r="E57" t="str">
        <f t="shared" si="0"/>
        <v>US</v>
      </c>
      <c r="F57" t="s">
        <v>286</v>
      </c>
      <c r="G57" t="s">
        <v>124</v>
      </c>
      <c r="H57" s="4"/>
      <c r="I57" s="4"/>
      <c r="J57" s="4"/>
      <c r="K57" s="4"/>
      <c r="L57" s="4"/>
    </row>
    <row r="58" spans="1:12">
      <c r="A58" t="str">
        <f t="shared" si="1"/>
        <v>P.R. China-user</v>
      </c>
      <c r="B58" t="s">
        <v>42</v>
      </c>
      <c r="C58" t="s">
        <v>257</v>
      </c>
      <c r="D58" t="s">
        <v>329</v>
      </c>
      <c r="E58" t="str">
        <f t="shared" si="0"/>
        <v>US</v>
      </c>
      <c r="F58" t="s">
        <v>437</v>
      </c>
      <c r="G58" t="s">
        <v>231</v>
      </c>
      <c r="H58" s="4"/>
      <c r="I58" s="4"/>
      <c r="J58" s="4"/>
      <c r="K58" s="4"/>
      <c r="L58" s="4"/>
    </row>
    <row r="59" spans="1:12">
      <c r="A59" t="str">
        <f t="shared" si="1"/>
        <v>P.R. China-user</v>
      </c>
      <c r="B59" t="s">
        <v>42</v>
      </c>
      <c r="C59" t="s">
        <v>257</v>
      </c>
      <c r="D59" t="s">
        <v>329</v>
      </c>
      <c r="E59" t="str">
        <f t="shared" si="0"/>
        <v>US</v>
      </c>
      <c r="F59" t="s">
        <v>438</v>
      </c>
      <c r="G59" t="s">
        <v>47</v>
      </c>
      <c r="H59" s="4"/>
      <c r="I59" s="4"/>
      <c r="J59" s="4"/>
      <c r="K59" s="4"/>
      <c r="L59" s="4"/>
    </row>
    <row r="60" spans="1:12">
      <c r="A60" t="str">
        <f t="shared" si="1"/>
        <v>P.R. China-user</v>
      </c>
      <c r="B60" t="s">
        <v>42</v>
      </c>
      <c r="C60" t="s">
        <v>257</v>
      </c>
      <c r="D60" t="s">
        <v>329</v>
      </c>
      <c r="E60" t="str">
        <f t="shared" si="0"/>
        <v>US</v>
      </c>
      <c r="F60" t="s">
        <v>439</v>
      </c>
      <c r="G60" t="s">
        <v>234</v>
      </c>
      <c r="H60" s="4"/>
      <c r="I60" s="4"/>
      <c r="J60" s="4"/>
      <c r="K60" s="4"/>
      <c r="L60" s="4"/>
    </row>
    <row r="61" spans="1:12">
      <c r="A61" t="str">
        <f t="shared" si="1"/>
        <v>P.R. China-user</v>
      </c>
      <c r="B61" t="s">
        <v>42</v>
      </c>
      <c r="C61" t="s">
        <v>257</v>
      </c>
      <c r="D61" t="s">
        <v>329</v>
      </c>
      <c r="E61" t="str">
        <f t="shared" si="0"/>
        <v>US</v>
      </c>
      <c r="F61" t="s">
        <v>421</v>
      </c>
      <c r="G61" t="s">
        <v>232</v>
      </c>
      <c r="H61" s="4"/>
      <c r="I61" s="4"/>
      <c r="J61" s="4"/>
      <c r="K61" s="4"/>
      <c r="L61" s="4"/>
    </row>
    <row r="62" spans="1:12">
      <c r="A62" t="str">
        <f t="shared" si="1"/>
        <v>P.R. China-user</v>
      </c>
      <c r="B62" t="s">
        <v>42</v>
      </c>
      <c r="C62" t="s">
        <v>257</v>
      </c>
      <c r="D62" t="s">
        <v>329</v>
      </c>
      <c r="E62" t="str">
        <f t="shared" si="0"/>
        <v>US</v>
      </c>
      <c r="F62" t="s">
        <v>440</v>
      </c>
      <c r="G62" t="s">
        <v>47</v>
      </c>
      <c r="H62" s="4"/>
      <c r="I62" s="4"/>
      <c r="J62" s="4"/>
      <c r="K62" s="4"/>
      <c r="L62" s="4"/>
    </row>
    <row r="63" spans="1:12">
      <c r="A63" t="str">
        <f t="shared" si="1"/>
        <v>P.R. China-user</v>
      </c>
      <c r="B63" t="s">
        <v>42</v>
      </c>
      <c r="C63" t="s">
        <v>257</v>
      </c>
      <c r="D63" t="s">
        <v>329</v>
      </c>
      <c r="E63" t="str">
        <f t="shared" si="0"/>
        <v>US</v>
      </c>
      <c r="F63" t="s">
        <v>441</v>
      </c>
      <c r="G63" t="s">
        <v>47</v>
      </c>
      <c r="H63" s="4"/>
      <c r="I63" s="4"/>
      <c r="J63" s="4"/>
      <c r="K63" s="4"/>
      <c r="L63" s="4"/>
    </row>
    <row r="64" spans="1:12">
      <c r="A64" t="str">
        <f t="shared" si="1"/>
        <v>P.R. China-user</v>
      </c>
      <c r="B64" t="s">
        <v>42</v>
      </c>
      <c r="C64" t="s">
        <v>257</v>
      </c>
      <c r="D64" t="s">
        <v>329</v>
      </c>
      <c r="E64" t="str">
        <f t="shared" si="0"/>
        <v>US</v>
      </c>
      <c r="F64" t="s">
        <v>281</v>
      </c>
      <c r="G64" t="s">
        <v>121</v>
      </c>
      <c r="H64" s="4"/>
      <c r="I64" s="4"/>
      <c r="J64" s="4"/>
      <c r="K64" s="4"/>
      <c r="L64" s="4"/>
    </row>
    <row r="65" spans="1:12">
      <c r="A65" t="str">
        <f t="shared" si="1"/>
        <v>P.R. China-user</v>
      </c>
      <c r="B65" t="s">
        <v>42</v>
      </c>
      <c r="C65" t="s">
        <v>257</v>
      </c>
      <c r="D65" t="s">
        <v>329</v>
      </c>
      <c r="E65" t="str">
        <f t="shared" si="0"/>
        <v>US</v>
      </c>
      <c r="F65" t="s">
        <v>423</v>
      </c>
      <c r="G65" t="s">
        <v>116</v>
      </c>
      <c r="H65" s="4"/>
      <c r="I65" s="4"/>
      <c r="J65" s="4"/>
      <c r="K65" s="4"/>
      <c r="L65" s="4"/>
    </row>
    <row r="66" spans="1:12">
      <c r="A66" t="str">
        <f t="shared" si="1"/>
        <v>P.R. China-user</v>
      </c>
      <c r="B66" t="s">
        <v>42</v>
      </c>
      <c r="C66" t="s">
        <v>257</v>
      </c>
      <c r="D66" t="s">
        <v>329</v>
      </c>
      <c r="E66" t="str">
        <f>IF(OR(D66="Doubao Seed 2.0 Pro",D66="DeepSeek Reasoner V3.2"),"China","US")</f>
        <v>US</v>
      </c>
      <c r="F66" t="s">
        <v>442</v>
      </c>
      <c r="G66" t="s">
        <v>99</v>
      </c>
      <c r="H66" s="4"/>
      <c r="I66" s="4"/>
      <c r="J66" s="4"/>
      <c r="K66" s="4"/>
      <c r="L66" s="4"/>
    </row>
    <row r="67" spans="1:12">
      <c r="A67" t="str">
        <f>C67&amp;"-"&amp;B67</f>
        <v>P.R. China-user</v>
      </c>
      <c r="B67" t="s">
        <v>42</v>
      </c>
      <c r="C67" t="s">
        <v>257</v>
      </c>
      <c r="D67" t="s">
        <v>329</v>
      </c>
      <c r="E67" t="str">
        <f>IF(OR(D67="Doubao Seed 2.0 Pro",D67="DeepSeek Reasoner V3.2"),"China","US")</f>
        <v>US</v>
      </c>
      <c r="F67" t="s">
        <v>433</v>
      </c>
      <c r="G67" t="s">
        <v>47</v>
      </c>
      <c r="H67" s="4"/>
      <c r="I67" s="4"/>
      <c r="J67" s="4"/>
      <c r="K67" s="4"/>
      <c r="L67" s="4"/>
    </row>
    <row r="68" spans="1:12">
      <c r="A68" s="4" t="s">
        <v>419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t="str">
        <f t="shared" ref="A71:A95" si="2">C71&amp;"-"&amp;B71</f>
        <v>P.R. China-user</v>
      </c>
      <c r="B71" t="s">
        <v>42</v>
      </c>
      <c r="C71" t="s">
        <v>257</v>
      </c>
      <c r="D71" s="14" t="s">
        <v>197</v>
      </c>
      <c r="E71" s="14"/>
      <c r="F71" s="14"/>
      <c r="G71" t="s">
        <v>228</v>
      </c>
      <c r="H71" s="2">
        <v>1</v>
      </c>
      <c r="I71" s="2"/>
      <c r="J71" s="2"/>
      <c r="K71" s="2" t="s">
        <v>199</v>
      </c>
      <c r="L71" s="2" t="s">
        <v>200</v>
      </c>
    </row>
    <row r="72" spans="1:12">
      <c r="A72" t="str">
        <f t="shared" si="2"/>
        <v>P.R. China-user</v>
      </c>
      <c r="B72" t="s">
        <v>42</v>
      </c>
      <c r="C72" t="s">
        <v>257</v>
      </c>
      <c r="D72" s="4"/>
      <c r="E72" s="4"/>
      <c r="F72" s="4"/>
      <c r="G72" t="s">
        <v>128</v>
      </c>
      <c r="H72" s="2">
        <v>1</v>
      </c>
      <c r="I72" s="2"/>
      <c r="J72" s="2"/>
      <c r="K72" s="2" t="s">
        <v>24</v>
      </c>
      <c r="L72" s="2" t="s">
        <v>25</v>
      </c>
    </row>
    <row r="73" spans="1:12">
      <c r="A73" t="str">
        <f t="shared" si="2"/>
        <v>P.R. China-user</v>
      </c>
      <c r="B73" t="s">
        <v>42</v>
      </c>
      <c r="C73" t="s">
        <v>257</v>
      </c>
      <c r="D73" s="4"/>
      <c r="E73" s="4"/>
      <c r="F73" s="4"/>
      <c r="G73" t="s">
        <v>229</v>
      </c>
      <c r="H73" s="2">
        <v>1</v>
      </c>
      <c r="I73" s="2"/>
      <c r="J73" s="2"/>
      <c r="K73" s="2" t="s">
        <v>199</v>
      </c>
      <c r="L73" s="2" t="s">
        <v>200</v>
      </c>
    </row>
    <row r="74" spans="1:12">
      <c r="A74" t="str">
        <f t="shared" si="2"/>
        <v>P.R. China-user</v>
      </c>
      <c r="B74" t="s">
        <v>42</v>
      </c>
      <c r="C74" t="s">
        <v>257</v>
      </c>
      <c r="D74" s="4"/>
      <c r="E74" s="4"/>
      <c r="F74" s="4"/>
      <c r="G74" t="s">
        <v>125</v>
      </c>
      <c r="H74" s="2">
        <v>1</v>
      </c>
      <c r="I74" s="2"/>
      <c r="J74" s="2"/>
      <c r="K74" s="2" t="s">
        <v>199</v>
      </c>
      <c r="L74" s="2" t="s">
        <v>200</v>
      </c>
    </row>
    <row r="75" spans="1:12">
      <c r="A75" t="str">
        <f t="shared" si="2"/>
        <v>P.R. China-user</v>
      </c>
      <c r="B75" t="s">
        <v>42</v>
      </c>
      <c r="C75" t="s">
        <v>257</v>
      </c>
      <c r="D75" s="4"/>
      <c r="E75" s="4"/>
      <c r="F75" s="4"/>
      <c r="G75" s="11" t="s">
        <v>124</v>
      </c>
      <c r="H75" s="11" t="s">
        <v>230</v>
      </c>
      <c r="I75" s="15">
        <v>83977</v>
      </c>
      <c r="J75" s="15" t="s">
        <v>32</v>
      </c>
      <c r="K75" s="2"/>
      <c r="L75" s="2"/>
    </row>
    <row r="76" spans="1:12">
      <c r="A76" t="str">
        <f t="shared" si="2"/>
        <v>P.R. China-user</v>
      </c>
      <c r="B76" t="s">
        <v>42</v>
      </c>
      <c r="C76" t="s">
        <v>257</v>
      </c>
      <c r="D76" s="4"/>
      <c r="E76" s="4"/>
      <c r="F76" s="4"/>
      <c r="G76" t="s">
        <v>123</v>
      </c>
      <c r="H76" s="2">
        <v>1</v>
      </c>
      <c r="I76" s="2"/>
      <c r="J76" s="2"/>
      <c r="K76" s="2" t="s">
        <v>24</v>
      </c>
      <c r="L76" s="2" t="s">
        <v>55</v>
      </c>
    </row>
    <row r="77" spans="1:12">
      <c r="A77" t="str">
        <f t="shared" si="2"/>
        <v>P.R. China-user</v>
      </c>
      <c r="B77" t="s">
        <v>42</v>
      </c>
      <c r="C77" t="s">
        <v>257</v>
      </c>
      <c r="D77" s="4"/>
      <c r="E77" s="4"/>
      <c r="F77" s="4"/>
      <c r="G77" t="s">
        <v>122</v>
      </c>
      <c r="H77" s="2">
        <v>1</v>
      </c>
      <c r="I77" s="2"/>
      <c r="J77" s="2"/>
      <c r="K77" s="2" t="s">
        <v>24</v>
      </c>
      <c r="L77" s="2" t="s">
        <v>25</v>
      </c>
    </row>
    <row r="78" spans="1:12">
      <c r="A78" t="str">
        <f t="shared" si="2"/>
        <v>P.R. China-user</v>
      </c>
      <c r="B78" t="s">
        <v>42</v>
      </c>
      <c r="C78" t="s">
        <v>257</v>
      </c>
      <c r="D78" s="4"/>
      <c r="E78" s="4"/>
      <c r="F78" s="4"/>
      <c r="G78" t="s">
        <v>121</v>
      </c>
      <c r="H78" s="2">
        <v>1</v>
      </c>
      <c r="I78" s="2"/>
      <c r="J78" s="2"/>
      <c r="K78" s="2" t="s">
        <v>24</v>
      </c>
      <c r="L78" s="2" t="s">
        <v>25</v>
      </c>
    </row>
    <row r="79" spans="1:12">
      <c r="A79" t="str">
        <f t="shared" si="2"/>
        <v>P.R. China-user</v>
      </c>
      <c r="B79" t="s">
        <v>42</v>
      </c>
      <c r="C79" t="s">
        <v>257</v>
      </c>
      <c r="D79" s="4"/>
      <c r="E79" s="4"/>
      <c r="F79" s="4"/>
      <c r="G79" s="11" t="s">
        <v>117</v>
      </c>
      <c r="H79" s="11" t="s">
        <v>230</v>
      </c>
      <c r="I79" s="15">
        <v>70881</v>
      </c>
      <c r="J79" s="15" t="s">
        <v>32</v>
      </c>
      <c r="K79" s="2"/>
      <c r="L79" s="2"/>
    </row>
    <row r="80" spans="1:12">
      <c r="A80" t="str">
        <f t="shared" si="2"/>
        <v>P.R. China-user</v>
      </c>
      <c r="B80" t="s">
        <v>42</v>
      </c>
      <c r="C80" t="s">
        <v>257</v>
      </c>
      <c r="D80" s="4"/>
      <c r="E80" s="4"/>
      <c r="F80" s="4"/>
      <c r="G80" t="s">
        <v>116</v>
      </c>
      <c r="H80" s="2">
        <v>1</v>
      </c>
      <c r="I80" s="2"/>
      <c r="J80" s="2"/>
      <c r="K80" s="2" t="s">
        <v>24</v>
      </c>
      <c r="L80" s="2" t="s">
        <v>25</v>
      </c>
    </row>
    <row r="81" spans="1:12">
      <c r="A81" t="str">
        <f t="shared" si="2"/>
        <v>P.R. China-user</v>
      </c>
      <c r="B81" t="s">
        <v>42</v>
      </c>
      <c r="C81" t="s">
        <v>257</v>
      </c>
      <c r="D81" s="4"/>
      <c r="E81" s="4"/>
      <c r="F81" s="4"/>
      <c r="G81" t="s">
        <v>113</v>
      </c>
      <c r="H81" s="2">
        <v>1</v>
      </c>
      <c r="I81" s="2"/>
      <c r="J81" s="2"/>
      <c r="K81" s="2" t="s">
        <v>24</v>
      </c>
      <c r="L81" s="2" t="s">
        <v>25</v>
      </c>
    </row>
    <row r="82" spans="1:12">
      <c r="A82" t="str">
        <f t="shared" si="2"/>
        <v>P.R. China-user</v>
      </c>
      <c r="B82" t="s">
        <v>42</v>
      </c>
      <c r="C82" t="s">
        <v>257</v>
      </c>
      <c r="D82" s="4"/>
      <c r="E82" s="4"/>
      <c r="F82" s="4"/>
      <c r="G82" t="s">
        <v>231</v>
      </c>
      <c r="H82" s="2">
        <v>1</v>
      </c>
      <c r="I82" s="2"/>
      <c r="J82" s="2"/>
      <c r="K82" s="2" t="s">
        <v>199</v>
      </c>
      <c r="L82" s="2" t="s">
        <v>200</v>
      </c>
    </row>
    <row r="83" spans="1:12">
      <c r="A83" t="str">
        <f t="shared" si="2"/>
        <v>P.R. China-user</v>
      </c>
      <c r="B83" t="s">
        <v>42</v>
      </c>
      <c r="C83" t="s">
        <v>257</v>
      </c>
      <c r="D83" s="4"/>
      <c r="E83" s="4"/>
      <c r="F83" s="4"/>
      <c r="G83" t="s">
        <v>112</v>
      </c>
      <c r="H83" s="2">
        <v>1</v>
      </c>
      <c r="I83" s="2"/>
      <c r="J83" s="2"/>
      <c r="K83" s="2" t="s">
        <v>199</v>
      </c>
      <c r="L83" s="2" t="s">
        <v>200</v>
      </c>
    </row>
    <row r="84" spans="1:12">
      <c r="A84" t="str">
        <f t="shared" si="2"/>
        <v>P.R. China-user</v>
      </c>
      <c r="B84" t="s">
        <v>42</v>
      </c>
      <c r="C84" t="s">
        <v>257</v>
      </c>
      <c r="D84" s="4"/>
      <c r="E84" s="4"/>
      <c r="F84" s="4"/>
      <c r="G84" s="11" t="s">
        <v>232</v>
      </c>
      <c r="H84" s="11" t="s">
        <v>230</v>
      </c>
      <c r="I84" s="15">
        <v>60281</v>
      </c>
      <c r="J84" s="15" t="s">
        <v>32</v>
      </c>
      <c r="L84" s="2"/>
    </row>
    <row r="85" spans="1:12">
      <c r="A85" t="str">
        <f t="shared" si="2"/>
        <v>P.R. China-user</v>
      </c>
      <c r="B85" t="s">
        <v>42</v>
      </c>
      <c r="C85" t="s">
        <v>257</v>
      </c>
      <c r="D85" s="4"/>
      <c r="E85" s="4"/>
      <c r="F85" s="4"/>
      <c r="G85" t="s">
        <v>107</v>
      </c>
      <c r="H85" s="2">
        <v>1</v>
      </c>
      <c r="I85" s="2"/>
      <c r="J85" s="2"/>
      <c r="K85" t="s">
        <v>24</v>
      </c>
      <c r="L85" s="2" t="s">
        <v>55</v>
      </c>
    </row>
    <row r="86" spans="1:12">
      <c r="A86" t="str">
        <f t="shared" si="2"/>
        <v>P.R. China-user</v>
      </c>
      <c r="B86" t="s">
        <v>42</v>
      </c>
      <c r="C86" t="s">
        <v>257</v>
      </c>
      <c r="D86" s="4"/>
      <c r="E86" s="4"/>
      <c r="F86" s="4"/>
      <c r="G86" t="s">
        <v>233</v>
      </c>
      <c r="H86" s="2">
        <v>1</v>
      </c>
      <c r="I86" s="2"/>
      <c r="J86" s="2"/>
      <c r="K86" s="2" t="s">
        <v>199</v>
      </c>
      <c r="L86" s="2" t="s">
        <v>200</v>
      </c>
    </row>
    <row r="87" spans="1:12">
      <c r="A87" t="str">
        <f t="shared" si="2"/>
        <v>P.R. China-user</v>
      </c>
      <c r="B87" t="s">
        <v>42</v>
      </c>
      <c r="C87" t="s">
        <v>257</v>
      </c>
      <c r="D87" s="4"/>
      <c r="E87" s="4"/>
      <c r="F87" s="4"/>
      <c r="G87" t="s">
        <v>99</v>
      </c>
      <c r="H87" s="2">
        <v>1</v>
      </c>
      <c r="I87" s="15"/>
      <c r="J87" s="2"/>
      <c r="K87" s="2" t="s">
        <v>199</v>
      </c>
      <c r="L87" s="2" t="s">
        <v>200</v>
      </c>
    </row>
    <row r="88" spans="1:12">
      <c r="A88" t="str">
        <f t="shared" si="2"/>
        <v>P.R. China-user</v>
      </c>
      <c r="B88" t="s">
        <v>42</v>
      </c>
      <c r="C88" t="s">
        <v>257</v>
      </c>
      <c r="D88" s="4"/>
      <c r="E88" s="4"/>
      <c r="F88" s="4"/>
      <c r="G88" t="s">
        <v>80</v>
      </c>
      <c r="H88" s="2">
        <v>1</v>
      </c>
      <c r="I88" s="2"/>
      <c r="J88" s="2"/>
      <c r="K88" t="s">
        <v>24</v>
      </c>
      <c r="L88" s="2" t="s">
        <v>25</v>
      </c>
    </row>
    <row r="89" spans="1:12">
      <c r="A89" t="str">
        <f t="shared" si="2"/>
        <v>P.R. China-user</v>
      </c>
      <c r="B89" t="s">
        <v>42</v>
      </c>
      <c r="C89" t="s">
        <v>257</v>
      </c>
      <c r="D89" s="4"/>
      <c r="E89" s="4"/>
      <c r="F89" s="4"/>
      <c r="G89" s="11" t="s">
        <v>47</v>
      </c>
      <c r="H89" s="11" t="s">
        <v>230</v>
      </c>
      <c r="I89" s="15">
        <v>94084</v>
      </c>
      <c r="J89" s="15" t="s">
        <v>48</v>
      </c>
      <c r="K89" s="2"/>
    </row>
    <row r="90" spans="1:12">
      <c r="A90" t="str">
        <f t="shared" si="2"/>
        <v>P.R. China-user</v>
      </c>
      <c r="B90" t="s">
        <v>42</v>
      </c>
      <c r="C90" t="s">
        <v>257</v>
      </c>
      <c r="D90" s="4"/>
      <c r="E90" s="4"/>
      <c r="F90" s="4"/>
      <c r="G90" t="s">
        <v>234</v>
      </c>
      <c r="H90" s="2">
        <v>1</v>
      </c>
      <c r="I90" s="2"/>
      <c r="J90" s="2"/>
      <c r="K90" s="2" t="s">
        <v>199</v>
      </c>
      <c r="L90" s="2" t="s">
        <v>200</v>
      </c>
    </row>
    <row r="91" spans="1:12">
      <c r="F91" s="2"/>
      <c r="G91" s="2"/>
    </row>
  </sheetData>
  <mergeCells count="3">
    <mergeCell ref="H3:L67"/>
    <mergeCell ref="A68:L70"/>
    <mergeCell ref="D71:F90"/>
  </mergeCells>
  <dataValidations count="6">
    <dataValidation allowBlank="1" showInputMessage="1" showErrorMessage="1" promptTitle="注意，此处是初步标签" prompt="注意，此处是初步标签" sqref="F1 G12 G34 F43:G43 G51 G54 F65:G65 G67 F3:F42 F44:F64 F66:F90 F235:F1048576"/>
    <dataValidation allowBlank="1" showInputMessage="1" showErrorMessage="1" promptTitle="注意，这个是研判后标签" prompt="注意，这个是研判后标签" sqref="G1 G66 G3:G11 G13:G33 G35:G42 G44:G50 G52:G53 G55:G64 G235:G1048576"/>
    <dataValidation type="list" allowBlank="1" showInputMessage="1" showErrorMessage="1" sqref="K89 L90 H92:H234 L3:L88 L235:L1048576">
      <formula1>"1(4/4),0.75(3/4),0.6(2/4+votepass),0.4(2/4+votedenied),0.25(1/4)"</formula1>
    </dataValidation>
    <dataValidation type="list" allowBlank="1" showInputMessage="1" showErrorMessage="1" sqref="B3:B1048576">
      <formula1>"user,worker,tech,gov"</formula1>
    </dataValidation>
    <dataValidation type="list" allowBlank="1" showInputMessage="1" showErrorMessage="1" sqref="C3:C1048576">
      <formula1>"P.R. China,United States,European Union,Kenya"</formula1>
    </dataValidation>
    <dataValidation type="list" allowBlank="1" showInputMessage="1" showErrorMessage="1" sqref="D3:D67 D91:D1048576">
      <formula1>"DeepSeek Reasoner V3.2,OpenAI ChatGPT 5.4 Pro,Google Gemini 3.1 Pro Preview,Doubao Seed 2.0 Pro"</formula1>
    </dataValidation>
  </dataValidations>
  <pageMargins left="0.75" right="0.75" top="1" bottom="1" header="0.5" footer="0.5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2"/>
  <sheetViews>
    <sheetView zoomScale="85" zoomScaleNormal="85" workbookViewId="0">
      <pane ySplit="2" topLeftCell="A3" activePane="bottomLeft" state="frozen"/>
      <selection/>
      <selection pane="bottomLeft" activeCell="E125" sqref="E125"/>
    </sheetView>
  </sheetViews>
  <sheetFormatPr defaultColWidth="8.61261261261261" defaultRowHeight="14.1"/>
  <cols>
    <col min="1" max="1" width="20.7117117117117" customWidth="1"/>
    <col min="2" max="2" width="11.7027027027027" customWidth="1"/>
    <col min="3" max="3" width="19.5495495495495" customWidth="1"/>
    <col min="4" max="4" width="25.1621621621622" customWidth="1"/>
    <col min="5" max="5" width="12.8558558558559" customWidth="1"/>
    <col min="6" max="6" width="24.7297297297297" customWidth="1"/>
    <col min="7" max="7" width="34.0810810810811" customWidth="1"/>
    <col min="8" max="8" width="11.7027027027027" customWidth="1"/>
    <col min="9" max="9" width="13.9369369369369" customWidth="1"/>
    <col min="10" max="10" width="11.7027027027027" customWidth="1"/>
    <col min="11" max="11" width="20.7117117117117" customWidth="1"/>
    <col min="12" max="12" width="17.3243243243243" customWidth="1"/>
  </cols>
  <sheetData>
    <row r="1" spans="1:12">
      <c r="A1" t="s">
        <v>6</v>
      </c>
      <c r="B1" t="s">
        <v>266</v>
      </c>
      <c r="C1" t="s">
        <v>267</v>
      </c>
      <c r="D1" t="s">
        <v>268</v>
      </c>
      <c r="E1" t="s">
        <v>269</v>
      </c>
      <c r="F1" t="s">
        <v>270</v>
      </c>
      <c r="G1" t="s">
        <v>271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  <row r="2" spans="1:12">
      <c r="A2" t="s">
        <v>272</v>
      </c>
      <c r="B2" t="s">
        <v>272</v>
      </c>
      <c r="C2" t="s">
        <v>272</v>
      </c>
      <c r="D2" t="s">
        <v>272</v>
      </c>
      <c r="E2" t="str">
        <f t="shared" ref="E2:E65" si="0">IF(OR(D2="Doubao Seed 2.0 Pro",D2="DeepSeek Reasoner V3.2"),"China","US")</f>
        <v>US</v>
      </c>
      <c r="F2" t="s">
        <v>272</v>
      </c>
      <c r="G2" t="s">
        <v>272</v>
      </c>
      <c r="H2" t="s">
        <v>272</v>
      </c>
      <c r="I2">
        <f ca="1">RANDBETWEEN(10000,99999)</f>
        <v>90094</v>
      </c>
      <c r="J2" t="str">
        <f ca="1">IF(MOD(I2,2)=0,"China-backup","US-backup")</f>
        <v>China-backup</v>
      </c>
      <c r="K2" t="s">
        <v>272</v>
      </c>
      <c r="L2" t="s">
        <v>272</v>
      </c>
    </row>
    <row r="3" spans="1:12">
      <c r="A3" s="3" t="str">
        <f t="shared" ref="A3:A66" si="1">C3&amp;"-"&amp;B3</f>
        <v>United States-gov</v>
      </c>
      <c r="B3" s="3" t="s">
        <v>21</v>
      </c>
      <c r="C3" s="3" t="s">
        <v>264</v>
      </c>
      <c r="D3" s="3" t="s">
        <v>273</v>
      </c>
      <c r="E3" s="3" t="str">
        <f t="shared" si="0"/>
        <v>China</v>
      </c>
      <c r="F3" s="3" t="s">
        <v>443</v>
      </c>
      <c r="G3" s="3" t="s">
        <v>23</v>
      </c>
      <c r="H3" s="4" t="s">
        <v>197</v>
      </c>
      <c r="I3" s="4"/>
      <c r="J3" s="4"/>
      <c r="K3" s="4"/>
      <c r="L3" s="4"/>
    </row>
    <row r="4" ht="11" customHeight="1" spans="1:12">
      <c r="A4" s="3" t="str">
        <f t="shared" si="1"/>
        <v>United States-gov</v>
      </c>
      <c r="B4" s="3" t="s">
        <v>21</v>
      </c>
      <c r="C4" s="3" t="s">
        <v>264</v>
      </c>
      <c r="D4" s="3" t="s">
        <v>273</v>
      </c>
      <c r="E4" s="3" t="str">
        <f t="shared" si="0"/>
        <v>China</v>
      </c>
      <c r="F4" s="3" t="s">
        <v>274</v>
      </c>
      <c r="G4" s="3" t="s">
        <v>121</v>
      </c>
      <c r="H4" s="4"/>
      <c r="I4" s="4"/>
      <c r="J4" s="4"/>
      <c r="K4" s="4"/>
      <c r="L4" s="4"/>
    </row>
    <row r="5" spans="1:12">
      <c r="A5" s="3" t="str">
        <f t="shared" si="1"/>
        <v>United States-gov</v>
      </c>
      <c r="B5" s="3" t="s">
        <v>21</v>
      </c>
      <c r="C5" s="3" t="s">
        <v>264</v>
      </c>
      <c r="D5" s="3" t="s">
        <v>273</v>
      </c>
      <c r="E5" s="3" t="str">
        <f t="shared" si="0"/>
        <v>China</v>
      </c>
      <c r="F5" s="3" t="s">
        <v>444</v>
      </c>
      <c r="G5" s="3" t="s">
        <v>240</v>
      </c>
      <c r="H5" s="4"/>
      <c r="I5" s="4"/>
      <c r="J5" s="4"/>
      <c r="K5" s="4"/>
      <c r="L5" s="4"/>
    </row>
    <row r="6" spans="1:12">
      <c r="A6" s="3" t="str">
        <f t="shared" si="1"/>
        <v>United States-gov</v>
      </c>
      <c r="B6" s="3" t="s">
        <v>21</v>
      </c>
      <c r="C6" s="3" t="s">
        <v>264</v>
      </c>
      <c r="D6" s="3" t="s">
        <v>273</v>
      </c>
      <c r="E6" s="3" t="str">
        <f t="shared" si="0"/>
        <v>China</v>
      </c>
      <c r="F6" s="3" t="s">
        <v>418</v>
      </c>
      <c r="G6" s="3" t="s">
        <v>123</v>
      </c>
      <c r="H6" s="4"/>
      <c r="I6" s="4"/>
      <c r="J6" s="4"/>
      <c r="K6" s="4"/>
      <c r="L6" s="4"/>
    </row>
    <row r="7" spans="1:12">
      <c r="A7" s="3" t="str">
        <f t="shared" si="1"/>
        <v>United States-gov</v>
      </c>
      <c r="B7" s="3" t="s">
        <v>21</v>
      </c>
      <c r="C7" s="3" t="s">
        <v>264</v>
      </c>
      <c r="D7" s="3" t="s">
        <v>273</v>
      </c>
      <c r="E7" s="3" t="str">
        <f t="shared" si="0"/>
        <v>China</v>
      </c>
      <c r="F7" s="3" t="s">
        <v>321</v>
      </c>
      <c r="G7" s="3" t="s">
        <v>93</v>
      </c>
      <c r="H7" s="4"/>
      <c r="I7" s="4"/>
      <c r="J7" s="4"/>
      <c r="K7" s="4"/>
      <c r="L7" s="4"/>
    </row>
    <row r="8" spans="1:12">
      <c r="A8" s="3" t="str">
        <f t="shared" si="1"/>
        <v>United States-gov</v>
      </c>
      <c r="B8" s="3" t="s">
        <v>21</v>
      </c>
      <c r="C8" s="3" t="s">
        <v>264</v>
      </c>
      <c r="D8" s="3" t="s">
        <v>273</v>
      </c>
      <c r="E8" s="3" t="str">
        <f t="shared" si="0"/>
        <v>China</v>
      </c>
      <c r="F8" s="3" t="s">
        <v>325</v>
      </c>
      <c r="G8" s="3" t="s">
        <v>122</v>
      </c>
      <c r="H8" s="4"/>
      <c r="I8" s="4"/>
      <c r="J8" s="4"/>
      <c r="K8" s="4"/>
      <c r="L8" s="4"/>
    </row>
    <row r="9" spans="1:12">
      <c r="A9" s="3" t="str">
        <f t="shared" si="1"/>
        <v>United States-gov</v>
      </c>
      <c r="B9" s="3" t="s">
        <v>21</v>
      </c>
      <c r="C9" s="3" t="s">
        <v>264</v>
      </c>
      <c r="D9" s="3" t="s">
        <v>273</v>
      </c>
      <c r="E9" s="3" t="str">
        <f t="shared" si="0"/>
        <v>China</v>
      </c>
      <c r="F9" s="3" t="s">
        <v>292</v>
      </c>
      <c r="G9" s="3" t="s">
        <v>107</v>
      </c>
      <c r="H9" s="4"/>
      <c r="I9" s="4"/>
      <c r="J9" s="4"/>
      <c r="K9" s="4"/>
      <c r="L9" s="4"/>
    </row>
    <row r="10" spans="1:12">
      <c r="A10" s="3" t="str">
        <f t="shared" si="1"/>
        <v>United States-gov</v>
      </c>
      <c r="B10" s="3" t="s">
        <v>21</v>
      </c>
      <c r="C10" s="3" t="s">
        <v>264</v>
      </c>
      <c r="D10" s="3" t="s">
        <v>273</v>
      </c>
      <c r="E10" s="3" t="str">
        <f t="shared" si="0"/>
        <v>China</v>
      </c>
      <c r="F10" s="3" t="s">
        <v>351</v>
      </c>
      <c r="G10" s="3" t="s">
        <v>108</v>
      </c>
      <c r="H10" s="4"/>
      <c r="I10" s="4"/>
      <c r="J10" s="4"/>
      <c r="K10" s="4"/>
      <c r="L10" s="4"/>
    </row>
    <row r="11" spans="1:12">
      <c r="A11" s="3" t="str">
        <f t="shared" si="1"/>
        <v>United States-gov</v>
      </c>
      <c r="B11" s="3" t="s">
        <v>21</v>
      </c>
      <c r="C11" s="3" t="s">
        <v>264</v>
      </c>
      <c r="D11" s="3" t="s">
        <v>273</v>
      </c>
      <c r="E11" s="3" t="str">
        <f t="shared" si="0"/>
        <v>China</v>
      </c>
      <c r="F11" s="3" t="s">
        <v>445</v>
      </c>
      <c r="G11" s="3" t="s">
        <v>106</v>
      </c>
      <c r="H11" s="4"/>
      <c r="I11" s="4"/>
      <c r="J11" s="4"/>
      <c r="K11" s="4"/>
      <c r="L11" s="4"/>
    </row>
    <row r="12" spans="1:12">
      <c r="A12" s="3" t="str">
        <f t="shared" si="1"/>
        <v>United States-gov</v>
      </c>
      <c r="B12" s="3" t="s">
        <v>21</v>
      </c>
      <c r="C12" s="3" t="s">
        <v>264</v>
      </c>
      <c r="D12" s="3" t="s">
        <v>273</v>
      </c>
      <c r="E12" s="3" t="str">
        <f t="shared" si="0"/>
        <v>China</v>
      </c>
      <c r="F12" s="3" t="s">
        <v>328</v>
      </c>
      <c r="G12" s="3" t="s">
        <v>100</v>
      </c>
      <c r="H12" s="4"/>
      <c r="I12" s="4"/>
      <c r="J12" s="4"/>
      <c r="K12" s="4"/>
      <c r="L12" s="4"/>
    </row>
    <row r="13" spans="1:12">
      <c r="A13" s="3" t="str">
        <f t="shared" si="1"/>
        <v>United States-gov</v>
      </c>
      <c r="B13" s="3" t="s">
        <v>21</v>
      </c>
      <c r="C13" s="3" t="s">
        <v>264</v>
      </c>
      <c r="D13" s="3" t="s">
        <v>273</v>
      </c>
      <c r="E13" s="3" t="str">
        <f t="shared" si="0"/>
        <v>China</v>
      </c>
      <c r="F13" s="3" t="s">
        <v>446</v>
      </c>
      <c r="G13" s="3" t="s">
        <v>106</v>
      </c>
      <c r="H13" s="4"/>
      <c r="I13" s="4"/>
      <c r="J13" s="4"/>
      <c r="K13" s="4"/>
      <c r="L13" s="4"/>
    </row>
    <row r="14" spans="1:12">
      <c r="A14" s="3" t="str">
        <f t="shared" si="1"/>
        <v>United States-gov</v>
      </c>
      <c r="B14" s="3" t="s">
        <v>21</v>
      </c>
      <c r="C14" s="3" t="s">
        <v>264</v>
      </c>
      <c r="D14" s="3" t="s">
        <v>273</v>
      </c>
      <c r="E14" s="3" t="str">
        <f t="shared" si="0"/>
        <v>China</v>
      </c>
      <c r="F14" s="3" t="s">
        <v>447</v>
      </c>
      <c r="G14" s="3" t="s">
        <v>125</v>
      </c>
      <c r="H14" s="4"/>
      <c r="I14" s="4"/>
      <c r="J14" s="4"/>
      <c r="K14" s="4"/>
      <c r="L14" s="4"/>
    </row>
    <row r="15" spans="1:12">
      <c r="A15" s="3" t="str">
        <f t="shared" si="1"/>
        <v>United States-gov</v>
      </c>
      <c r="B15" s="3" t="s">
        <v>21</v>
      </c>
      <c r="C15" s="3" t="s">
        <v>264</v>
      </c>
      <c r="D15" s="3" t="s">
        <v>273</v>
      </c>
      <c r="E15" s="3" t="str">
        <f t="shared" si="0"/>
        <v>China</v>
      </c>
      <c r="F15" s="3" t="s">
        <v>448</v>
      </c>
      <c r="G15" s="3" t="s">
        <v>125</v>
      </c>
      <c r="H15" s="4"/>
      <c r="I15" s="4"/>
      <c r="J15" s="4"/>
      <c r="K15" s="4"/>
      <c r="L15" s="4"/>
    </row>
    <row r="16" spans="1:12">
      <c r="A16" s="3" t="str">
        <f t="shared" si="1"/>
        <v>United States-gov</v>
      </c>
      <c r="B16" s="3" t="s">
        <v>21</v>
      </c>
      <c r="C16" s="3" t="s">
        <v>264</v>
      </c>
      <c r="D16" s="3" t="s">
        <v>273</v>
      </c>
      <c r="E16" s="3" t="str">
        <f t="shared" si="0"/>
        <v>China</v>
      </c>
      <c r="F16" s="3" t="s">
        <v>449</v>
      </c>
      <c r="G16" s="3" t="s">
        <v>101</v>
      </c>
      <c r="H16" s="4"/>
      <c r="I16" s="4"/>
      <c r="J16" s="4"/>
      <c r="K16" s="4"/>
      <c r="L16" s="4"/>
    </row>
    <row r="17" spans="1:12">
      <c r="A17" s="3" t="str">
        <f t="shared" si="1"/>
        <v>United States-gov</v>
      </c>
      <c r="B17" s="3" t="s">
        <v>21</v>
      </c>
      <c r="C17" s="3" t="s">
        <v>264</v>
      </c>
      <c r="D17" s="3" t="s">
        <v>273</v>
      </c>
      <c r="E17" s="3" t="str">
        <f t="shared" si="0"/>
        <v>China</v>
      </c>
      <c r="F17" s="3" t="s">
        <v>450</v>
      </c>
      <c r="G17" s="3" t="s">
        <v>239</v>
      </c>
      <c r="H17" s="4"/>
      <c r="I17" s="4"/>
      <c r="J17" s="4"/>
      <c r="K17" s="4"/>
      <c r="L17" s="4"/>
    </row>
    <row r="18" spans="1:12">
      <c r="A18" s="3" t="str">
        <f t="shared" si="1"/>
        <v>United States-gov</v>
      </c>
      <c r="B18" s="3" t="s">
        <v>21</v>
      </c>
      <c r="C18" s="3" t="s">
        <v>264</v>
      </c>
      <c r="D18" s="3" t="s">
        <v>273</v>
      </c>
      <c r="E18" s="3" t="str">
        <f t="shared" si="0"/>
        <v>China</v>
      </c>
      <c r="F18" s="3" t="s">
        <v>281</v>
      </c>
      <c r="G18" s="3" t="s">
        <v>121</v>
      </c>
      <c r="H18" s="4"/>
      <c r="I18" s="4"/>
      <c r="J18" s="4"/>
      <c r="K18" s="4"/>
      <c r="L18" s="4"/>
    </row>
    <row r="19" spans="1:12">
      <c r="A19" s="3" t="str">
        <f t="shared" si="1"/>
        <v>United States-gov</v>
      </c>
      <c r="B19" s="3" t="s">
        <v>21</v>
      </c>
      <c r="C19" s="3" t="s">
        <v>264</v>
      </c>
      <c r="D19" s="3" t="s">
        <v>273</v>
      </c>
      <c r="E19" s="3" t="str">
        <f t="shared" si="0"/>
        <v>China</v>
      </c>
      <c r="F19" s="3" t="s">
        <v>397</v>
      </c>
      <c r="G19" s="3" t="s">
        <v>58</v>
      </c>
      <c r="H19" s="4"/>
      <c r="I19" s="4"/>
      <c r="J19" s="4"/>
      <c r="K19" s="4"/>
      <c r="L19" s="4"/>
    </row>
    <row r="20" spans="1:12">
      <c r="A20" s="3" t="str">
        <f t="shared" si="1"/>
        <v>United States-gov</v>
      </c>
      <c r="B20" s="3" t="s">
        <v>21</v>
      </c>
      <c r="C20" s="3" t="s">
        <v>264</v>
      </c>
      <c r="D20" s="3" t="s">
        <v>297</v>
      </c>
      <c r="E20" s="3" t="str">
        <f t="shared" si="0"/>
        <v>China</v>
      </c>
      <c r="F20" s="3" t="s">
        <v>451</v>
      </c>
      <c r="G20" s="3" t="s">
        <v>23</v>
      </c>
      <c r="H20" s="4"/>
      <c r="I20" s="4"/>
      <c r="J20" s="4"/>
      <c r="K20" s="4"/>
      <c r="L20" s="4"/>
    </row>
    <row r="21" spans="1:12">
      <c r="A21" s="3" t="str">
        <f t="shared" si="1"/>
        <v>United States-gov</v>
      </c>
      <c r="B21" s="3" t="s">
        <v>21</v>
      </c>
      <c r="C21" s="3" t="s">
        <v>264</v>
      </c>
      <c r="D21" s="3" t="s">
        <v>297</v>
      </c>
      <c r="E21" s="3" t="str">
        <f t="shared" si="0"/>
        <v>China</v>
      </c>
      <c r="F21" s="3" t="s">
        <v>452</v>
      </c>
      <c r="G21" s="3" t="s">
        <v>23</v>
      </c>
      <c r="H21" s="4"/>
      <c r="I21" s="4"/>
      <c r="J21" s="4"/>
      <c r="K21" s="4"/>
      <c r="L21" s="4"/>
    </row>
    <row r="22" spans="1:12">
      <c r="A22" s="3" t="str">
        <f t="shared" si="1"/>
        <v>United States-gov</v>
      </c>
      <c r="B22" s="3" t="s">
        <v>21</v>
      </c>
      <c r="C22" s="3" t="s">
        <v>264</v>
      </c>
      <c r="D22" s="3" t="s">
        <v>297</v>
      </c>
      <c r="E22" s="3" t="str">
        <f t="shared" si="0"/>
        <v>China</v>
      </c>
      <c r="F22" s="3" t="s">
        <v>316</v>
      </c>
      <c r="G22" s="3" t="s">
        <v>100</v>
      </c>
      <c r="H22" s="4"/>
      <c r="I22" s="4"/>
      <c r="J22" s="4"/>
      <c r="K22" s="4"/>
      <c r="L22" s="4"/>
    </row>
    <row r="23" spans="1:12">
      <c r="A23" s="3" t="str">
        <f t="shared" si="1"/>
        <v>United States-gov</v>
      </c>
      <c r="B23" s="3" t="s">
        <v>21</v>
      </c>
      <c r="C23" s="3" t="s">
        <v>264</v>
      </c>
      <c r="D23" s="3" t="s">
        <v>297</v>
      </c>
      <c r="E23" s="3" t="str">
        <f t="shared" si="0"/>
        <v>China</v>
      </c>
      <c r="F23" s="3" t="s">
        <v>453</v>
      </c>
      <c r="G23" s="3" t="s">
        <v>104</v>
      </c>
      <c r="H23" s="4"/>
      <c r="I23" s="4"/>
      <c r="J23" s="4"/>
      <c r="K23" s="4"/>
      <c r="L23" s="4"/>
    </row>
    <row r="24" spans="1:12">
      <c r="A24" s="3" t="str">
        <f t="shared" si="1"/>
        <v>United States-gov</v>
      </c>
      <c r="B24" s="3" t="s">
        <v>21</v>
      </c>
      <c r="C24" s="3" t="s">
        <v>264</v>
      </c>
      <c r="D24" s="3" t="s">
        <v>297</v>
      </c>
      <c r="E24" s="3" t="str">
        <f t="shared" si="0"/>
        <v>China</v>
      </c>
      <c r="F24" s="3" t="s">
        <v>397</v>
      </c>
      <c r="G24" s="3" t="s">
        <v>58</v>
      </c>
      <c r="H24" s="4"/>
      <c r="I24" s="4"/>
      <c r="J24" s="4"/>
      <c r="K24" s="4"/>
      <c r="L24" s="4"/>
    </row>
    <row r="25" spans="1:12">
      <c r="A25" s="3" t="str">
        <f t="shared" si="1"/>
        <v>United States-gov</v>
      </c>
      <c r="B25" s="3" t="s">
        <v>21</v>
      </c>
      <c r="C25" s="3" t="s">
        <v>264</v>
      </c>
      <c r="D25" s="3" t="s">
        <v>297</v>
      </c>
      <c r="E25" s="3" t="str">
        <f t="shared" si="0"/>
        <v>China</v>
      </c>
      <c r="F25" s="3" t="s">
        <v>321</v>
      </c>
      <c r="G25" s="3" t="s">
        <v>93</v>
      </c>
      <c r="H25" s="4"/>
      <c r="I25" s="4"/>
      <c r="J25" s="4"/>
      <c r="K25" s="4"/>
      <c r="L25" s="4"/>
    </row>
    <row r="26" spans="1:12">
      <c r="A26" s="3" t="str">
        <f t="shared" si="1"/>
        <v>United States-gov</v>
      </c>
      <c r="B26" s="3" t="s">
        <v>21</v>
      </c>
      <c r="C26" s="3" t="s">
        <v>264</v>
      </c>
      <c r="D26" s="3" t="s">
        <v>297</v>
      </c>
      <c r="E26" s="3" t="str">
        <f t="shared" si="0"/>
        <v>China</v>
      </c>
      <c r="F26" s="3" t="s">
        <v>454</v>
      </c>
      <c r="G26" s="3" t="s">
        <v>237</v>
      </c>
      <c r="H26" s="4"/>
      <c r="I26" s="4"/>
      <c r="J26" s="4"/>
      <c r="K26" s="4"/>
      <c r="L26" s="4"/>
    </row>
    <row r="27" spans="1:12">
      <c r="A27" s="3" t="str">
        <f t="shared" si="1"/>
        <v>United States-gov</v>
      </c>
      <c r="B27" s="3" t="s">
        <v>21</v>
      </c>
      <c r="C27" s="3" t="s">
        <v>264</v>
      </c>
      <c r="D27" s="3" t="s">
        <v>297</v>
      </c>
      <c r="E27" s="3" t="str">
        <f t="shared" si="0"/>
        <v>China</v>
      </c>
      <c r="F27" s="3" t="s">
        <v>418</v>
      </c>
      <c r="G27" s="3" t="s">
        <v>123</v>
      </c>
      <c r="H27" s="4"/>
      <c r="I27" s="4"/>
      <c r="J27" s="4"/>
      <c r="K27" s="4"/>
      <c r="L27" s="4"/>
    </row>
    <row r="28" spans="1:12">
      <c r="A28" s="3" t="str">
        <f t="shared" si="1"/>
        <v>United States-gov</v>
      </c>
      <c r="B28" s="3" t="s">
        <v>21</v>
      </c>
      <c r="C28" s="3" t="s">
        <v>264</v>
      </c>
      <c r="D28" s="3" t="s">
        <v>297</v>
      </c>
      <c r="E28" s="3" t="str">
        <f t="shared" si="0"/>
        <v>China</v>
      </c>
      <c r="F28" s="3" t="s">
        <v>455</v>
      </c>
      <c r="G28" s="3" t="s">
        <v>23</v>
      </c>
      <c r="H28" s="4"/>
      <c r="I28" s="4"/>
      <c r="J28" s="4"/>
      <c r="K28" s="4"/>
      <c r="L28" s="4"/>
    </row>
    <row r="29" spans="1:12">
      <c r="A29" s="3" t="str">
        <f t="shared" si="1"/>
        <v>United States-gov</v>
      </c>
      <c r="B29" s="3" t="s">
        <v>21</v>
      </c>
      <c r="C29" s="3" t="s">
        <v>264</v>
      </c>
      <c r="D29" s="3" t="s">
        <v>297</v>
      </c>
      <c r="E29" s="3" t="str">
        <f t="shared" si="0"/>
        <v>China</v>
      </c>
      <c r="F29" s="3" t="s">
        <v>274</v>
      </c>
      <c r="G29" s="3" t="s">
        <v>121</v>
      </c>
      <c r="H29" s="4"/>
      <c r="I29" s="4"/>
      <c r="J29" s="4"/>
      <c r="K29" s="4"/>
      <c r="L29" s="4"/>
    </row>
    <row r="30" spans="1:12">
      <c r="A30" s="3" t="str">
        <f t="shared" si="1"/>
        <v>United States-gov</v>
      </c>
      <c r="B30" s="3" t="s">
        <v>21</v>
      </c>
      <c r="C30" s="3" t="s">
        <v>264</v>
      </c>
      <c r="D30" s="3" t="s">
        <v>297</v>
      </c>
      <c r="E30" s="3" t="str">
        <f t="shared" si="0"/>
        <v>China</v>
      </c>
      <c r="F30" s="3" t="s">
        <v>449</v>
      </c>
      <c r="G30" s="3" t="s">
        <v>101</v>
      </c>
      <c r="H30" s="4"/>
      <c r="I30" s="4"/>
      <c r="J30" s="4"/>
      <c r="K30" s="4"/>
      <c r="L30" s="4"/>
    </row>
    <row r="31" spans="1:12">
      <c r="A31" s="3" t="str">
        <f t="shared" si="1"/>
        <v>United States-gov</v>
      </c>
      <c r="B31" s="3" t="s">
        <v>21</v>
      </c>
      <c r="C31" s="3" t="s">
        <v>264</v>
      </c>
      <c r="D31" s="3" t="s">
        <v>297</v>
      </c>
      <c r="E31" s="3" t="str">
        <f t="shared" si="0"/>
        <v>China</v>
      </c>
      <c r="F31" s="3" t="s">
        <v>456</v>
      </c>
      <c r="G31" s="3" t="s">
        <v>241</v>
      </c>
      <c r="H31" s="4"/>
      <c r="I31" s="4"/>
      <c r="J31" s="4"/>
      <c r="K31" s="4"/>
      <c r="L31" s="4"/>
    </row>
    <row r="32" spans="1:12">
      <c r="A32" s="3" t="str">
        <f t="shared" si="1"/>
        <v>United States-gov</v>
      </c>
      <c r="B32" s="3" t="s">
        <v>21</v>
      </c>
      <c r="C32" s="3" t="s">
        <v>264</v>
      </c>
      <c r="D32" s="3" t="s">
        <v>297</v>
      </c>
      <c r="E32" s="3" t="str">
        <f t="shared" si="0"/>
        <v>China</v>
      </c>
      <c r="F32" s="3" t="s">
        <v>328</v>
      </c>
      <c r="G32" s="3" t="s">
        <v>100</v>
      </c>
      <c r="H32" s="4"/>
      <c r="I32" s="4"/>
      <c r="J32" s="4"/>
      <c r="K32" s="4"/>
      <c r="L32" s="4"/>
    </row>
    <row r="33" spans="1:12">
      <c r="A33" s="3" t="str">
        <f t="shared" si="1"/>
        <v>United States-gov</v>
      </c>
      <c r="B33" s="3" t="s">
        <v>21</v>
      </c>
      <c r="C33" s="3" t="s">
        <v>264</v>
      </c>
      <c r="D33" s="3" t="s">
        <v>297</v>
      </c>
      <c r="E33" s="3" t="str">
        <f t="shared" si="0"/>
        <v>China</v>
      </c>
      <c r="F33" s="3" t="s">
        <v>446</v>
      </c>
      <c r="G33" s="3" t="s">
        <v>106</v>
      </c>
      <c r="H33" s="4"/>
      <c r="I33" s="4"/>
      <c r="J33" s="4"/>
      <c r="K33" s="4"/>
      <c r="L33" s="4"/>
    </row>
    <row r="34" spans="1:12">
      <c r="A34" s="3" t="str">
        <f t="shared" si="1"/>
        <v>United States-gov</v>
      </c>
      <c r="B34" s="3" t="s">
        <v>21</v>
      </c>
      <c r="C34" s="3" t="s">
        <v>264</v>
      </c>
      <c r="D34" s="3" t="s">
        <v>297</v>
      </c>
      <c r="E34" s="3" t="str">
        <f t="shared" si="0"/>
        <v>China</v>
      </c>
      <c r="F34" s="3" t="s">
        <v>457</v>
      </c>
      <c r="G34" s="3" t="s">
        <v>238</v>
      </c>
      <c r="H34" s="4"/>
      <c r="I34" s="4"/>
      <c r="J34" s="4"/>
      <c r="K34" s="4"/>
      <c r="L34" s="4"/>
    </row>
    <row r="35" spans="1:12">
      <c r="A35" s="3" t="str">
        <f t="shared" si="1"/>
        <v>United States-gov</v>
      </c>
      <c r="B35" s="3" t="s">
        <v>21</v>
      </c>
      <c r="C35" s="3" t="s">
        <v>264</v>
      </c>
      <c r="D35" s="3" t="s">
        <v>297</v>
      </c>
      <c r="E35" s="3" t="str">
        <f t="shared" si="0"/>
        <v>China</v>
      </c>
      <c r="F35" s="3" t="s">
        <v>458</v>
      </c>
      <c r="G35" s="3" t="s">
        <v>242</v>
      </c>
      <c r="H35" s="4"/>
      <c r="I35" s="4"/>
      <c r="J35" s="4"/>
      <c r="K35" s="4"/>
      <c r="L35" s="4"/>
    </row>
    <row r="36" spans="1:12">
      <c r="A36" s="3" t="str">
        <f t="shared" si="1"/>
        <v>United States-gov</v>
      </c>
      <c r="B36" s="3" t="s">
        <v>21</v>
      </c>
      <c r="C36" s="3" t="s">
        <v>264</v>
      </c>
      <c r="D36" s="3" t="s">
        <v>297</v>
      </c>
      <c r="E36" s="3" t="str">
        <f t="shared" si="0"/>
        <v>China</v>
      </c>
      <c r="F36" s="3" t="s">
        <v>285</v>
      </c>
      <c r="G36" s="3" t="s">
        <v>113</v>
      </c>
      <c r="H36" s="4"/>
      <c r="I36" s="4"/>
      <c r="J36" s="4"/>
      <c r="K36" s="4"/>
      <c r="L36" s="4"/>
    </row>
    <row r="37" spans="1:12">
      <c r="A37" s="3" t="str">
        <f t="shared" si="1"/>
        <v>United States-gov</v>
      </c>
      <c r="B37" s="3" t="s">
        <v>21</v>
      </c>
      <c r="C37" s="3" t="s">
        <v>264</v>
      </c>
      <c r="D37" s="3" t="s">
        <v>314</v>
      </c>
      <c r="E37" s="3" t="str">
        <f t="shared" si="0"/>
        <v>US</v>
      </c>
      <c r="F37" s="3" t="s">
        <v>443</v>
      </c>
      <c r="G37" s="3" t="s">
        <v>23</v>
      </c>
      <c r="H37" s="4"/>
      <c r="I37" s="4"/>
      <c r="J37" s="4"/>
      <c r="K37" s="4"/>
      <c r="L37" s="4"/>
    </row>
    <row r="38" spans="1:12">
      <c r="A38" s="3" t="str">
        <f t="shared" si="1"/>
        <v>United States-gov</v>
      </c>
      <c r="B38" s="3" t="s">
        <v>21</v>
      </c>
      <c r="C38" s="3" t="s">
        <v>264</v>
      </c>
      <c r="D38" s="3" t="s">
        <v>314</v>
      </c>
      <c r="E38" s="3" t="str">
        <f t="shared" si="0"/>
        <v>US</v>
      </c>
      <c r="F38" s="3" t="s">
        <v>316</v>
      </c>
      <c r="G38" s="3" t="s">
        <v>100</v>
      </c>
      <c r="H38" s="4"/>
      <c r="I38" s="4"/>
      <c r="J38" s="4"/>
      <c r="K38" s="4"/>
      <c r="L38" s="4"/>
    </row>
    <row r="39" spans="1:12">
      <c r="A39" s="3" t="str">
        <f t="shared" si="1"/>
        <v>United States-gov</v>
      </c>
      <c r="B39" s="3" t="s">
        <v>21</v>
      </c>
      <c r="C39" s="3" t="s">
        <v>264</v>
      </c>
      <c r="D39" s="3" t="s">
        <v>314</v>
      </c>
      <c r="E39" s="3" t="str">
        <f t="shared" si="0"/>
        <v>US</v>
      </c>
      <c r="F39" s="3" t="s">
        <v>129</v>
      </c>
      <c r="G39" s="3" t="s">
        <v>129</v>
      </c>
      <c r="H39" s="4"/>
      <c r="I39" s="4"/>
      <c r="J39" s="4"/>
      <c r="K39" s="4"/>
      <c r="L39" s="4"/>
    </row>
    <row r="40" spans="1:12">
      <c r="A40" s="3" t="str">
        <f t="shared" si="1"/>
        <v>United States-gov</v>
      </c>
      <c r="B40" s="3" t="s">
        <v>21</v>
      </c>
      <c r="C40" s="3" t="s">
        <v>264</v>
      </c>
      <c r="D40" s="3" t="s">
        <v>314</v>
      </c>
      <c r="E40" s="3" t="str">
        <f t="shared" si="0"/>
        <v>US</v>
      </c>
      <c r="F40" s="3" t="s">
        <v>325</v>
      </c>
      <c r="G40" s="3" t="s">
        <v>122</v>
      </c>
      <c r="H40" s="4"/>
      <c r="I40" s="4"/>
      <c r="J40" s="4"/>
      <c r="K40" s="4"/>
      <c r="L40" s="4"/>
    </row>
    <row r="41" spans="1:12">
      <c r="A41" s="3" t="str">
        <f t="shared" si="1"/>
        <v>United States-gov</v>
      </c>
      <c r="B41" s="3" t="s">
        <v>21</v>
      </c>
      <c r="C41" s="3" t="s">
        <v>264</v>
      </c>
      <c r="D41" s="3" t="s">
        <v>314</v>
      </c>
      <c r="E41" s="3" t="str">
        <f t="shared" si="0"/>
        <v>US</v>
      </c>
      <c r="F41" s="3" t="s">
        <v>274</v>
      </c>
      <c r="G41" s="3" t="s">
        <v>121</v>
      </c>
      <c r="H41" s="4"/>
      <c r="I41" s="4"/>
      <c r="J41" s="4"/>
      <c r="K41" s="4"/>
      <c r="L41" s="4"/>
    </row>
    <row r="42" spans="1:12">
      <c r="A42" s="3" t="str">
        <f t="shared" si="1"/>
        <v>United States-gov</v>
      </c>
      <c r="B42" s="3" t="s">
        <v>21</v>
      </c>
      <c r="C42" s="3" t="s">
        <v>264</v>
      </c>
      <c r="D42" s="3" t="s">
        <v>314</v>
      </c>
      <c r="E42" s="3" t="str">
        <f t="shared" si="0"/>
        <v>US</v>
      </c>
      <c r="F42" s="3" t="s">
        <v>321</v>
      </c>
      <c r="G42" s="3" t="s">
        <v>93</v>
      </c>
      <c r="H42" s="4"/>
      <c r="I42" s="4"/>
      <c r="J42" s="4"/>
      <c r="K42" s="4"/>
      <c r="L42" s="4"/>
    </row>
    <row r="43" spans="1:12">
      <c r="A43" s="3" t="str">
        <f t="shared" si="1"/>
        <v>United States-gov</v>
      </c>
      <c r="B43" s="3" t="s">
        <v>21</v>
      </c>
      <c r="C43" s="3" t="s">
        <v>264</v>
      </c>
      <c r="D43" s="3" t="s">
        <v>314</v>
      </c>
      <c r="E43" s="3" t="str">
        <f t="shared" si="0"/>
        <v>US</v>
      </c>
      <c r="F43" s="3" t="s">
        <v>286</v>
      </c>
      <c r="G43" s="3" t="s">
        <v>124</v>
      </c>
      <c r="H43" s="4"/>
      <c r="I43" s="4"/>
      <c r="J43" s="4"/>
      <c r="K43" s="4"/>
      <c r="L43" s="4"/>
    </row>
    <row r="44" spans="1:12">
      <c r="A44" s="3" t="str">
        <f t="shared" si="1"/>
        <v>United States-gov</v>
      </c>
      <c r="B44" s="3" t="s">
        <v>21</v>
      </c>
      <c r="C44" s="3" t="s">
        <v>264</v>
      </c>
      <c r="D44" s="3" t="s">
        <v>314</v>
      </c>
      <c r="E44" s="3" t="str">
        <f t="shared" si="0"/>
        <v>US</v>
      </c>
      <c r="F44" s="3" t="s">
        <v>400</v>
      </c>
      <c r="G44" s="3" t="s">
        <v>95</v>
      </c>
      <c r="H44" s="4"/>
      <c r="I44" s="4"/>
      <c r="J44" s="4"/>
      <c r="K44" s="4"/>
      <c r="L44" s="4"/>
    </row>
    <row r="45" spans="1:12">
      <c r="A45" s="3" t="str">
        <f t="shared" si="1"/>
        <v>United States-gov</v>
      </c>
      <c r="B45" s="3" t="s">
        <v>21</v>
      </c>
      <c r="C45" s="3" t="s">
        <v>264</v>
      </c>
      <c r="D45" s="3" t="s">
        <v>314</v>
      </c>
      <c r="E45" s="3" t="str">
        <f t="shared" si="0"/>
        <v>US</v>
      </c>
      <c r="F45" s="3" t="s">
        <v>459</v>
      </c>
      <c r="G45" s="3" t="s">
        <v>126</v>
      </c>
      <c r="H45" s="4"/>
      <c r="I45" s="4"/>
      <c r="J45" s="4"/>
      <c r="K45" s="4"/>
      <c r="L45" s="4"/>
    </row>
    <row r="46" spans="1:12">
      <c r="A46" s="3" t="str">
        <f t="shared" si="1"/>
        <v>United States-gov</v>
      </c>
      <c r="B46" s="3" t="s">
        <v>21</v>
      </c>
      <c r="C46" s="3" t="s">
        <v>264</v>
      </c>
      <c r="D46" s="3" t="s">
        <v>314</v>
      </c>
      <c r="E46" s="3" t="str">
        <f t="shared" si="0"/>
        <v>US</v>
      </c>
      <c r="F46" s="3" t="s">
        <v>397</v>
      </c>
      <c r="G46" s="3" t="s">
        <v>58</v>
      </c>
      <c r="H46" s="4"/>
      <c r="I46" s="4"/>
      <c r="J46" s="4"/>
      <c r="K46" s="4"/>
      <c r="L46" s="4"/>
    </row>
    <row r="47" spans="1:12">
      <c r="A47" s="3" t="str">
        <f t="shared" si="1"/>
        <v>United States-gov</v>
      </c>
      <c r="B47" s="3" t="s">
        <v>21</v>
      </c>
      <c r="C47" s="3" t="s">
        <v>264</v>
      </c>
      <c r="D47" s="3" t="s">
        <v>314</v>
      </c>
      <c r="E47" s="3" t="str">
        <f t="shared" si="0"/>
        <v>US</v>
      </c>
      <c r="F47" s="3" t="s">
        <v>310</v>
      </c>
      <c r="G47" s="3" t="s">
        <v>204</v>
      </c>
      <c r="H47" s="4"/>
      <c r="I47" s="4"/>
      <c r="J47" s="4"/>
      <c r="K47" s="4"/>
      <c r="L47" s="4"/>
    </row>
    <row r="48" spans="1:12">
      <c r="A48" s="3" t="str">
        <f t="shared" si="1"/>
        <v>United States-gov</v>
      </c>
      <c r="B48" s="3" t="s">
        <v>21</v>
      </c>
      <c r="C48" s="3" t="s">
        <v>264</v>
      </c>
      <c r="D48" s="3" t="s">
        <v>314</v>
      </c>
      <c r="E48" s="3" t="str">
        <f t="shared" si="0"/>
        <v>US</v>
      </c>
      <c r="F48" s="3" t="s">
        <v>311</v>
      </c>
      <c r="G48" s="3" t="s">
        <v>204</v>
      </c>
      <c r="H48" s="4"/>
      <c r="I48" s="4"/>
      <c r="J48" s="4"/>
      <c r="K48" s="4"/>
      <c r="L48" s="4"/>
    </row>
    <row r="49" spans="1:12">
      <c r="A49" s="3" t="str">
        <f t="shared" si="1"/>
        <v>United States-gov</v>
      </c>
      <c r="B49" s="3" t="s">
        <v>21</v>
      </c>
      <c r="C49" s="3" t="s">
        <v>264</v>
      </c>
      <c r="D49" s="3" t="s">
        <v>314</v>
      </c>
      <c r="E49" s="3" t="str">
        <f t="shared" si="0"/>
        <v>US</v>
      </c>
      <c r="F49" s="3" t="s">
        <v>334</v>
      </c>
      <c r="G49" s="3" t="s">
        <v>104</v>
      </c>
      <c r="H49" s="4"/>
      <c r="I49" s="4"/>
      <c r="J49" s="4"/>
      <c r="K49" s="4"/>
      <c r="L49" s="4"/>
    </row>
    <row r="50" spans="1:12">
      <c r="A50" s="3" t="str">
        <f t="shared" si="1"/>
        <v>United States-gov</v>
      </c>
      <c r="B50" s="3" t="s">
        <v>21</v>
      </c>
      <c r="C50" s="3" t="s">
        <v>264</v>
      </c>
      <c r="D50" s="3" t="s">
        <v>314</v>
      </c>
      <c r="E50" s="3" t="str">
        <f t="shared" si="0"/>
        <v>US</v>
      </c>
      <c r="F50" s="3" t="s">
        <v>418</v>
      </c>
      <c r="G50" s="3" t="s">
        <v>123</v>
      </c>
      <c r="H50" s="4"/>
      <c r="I50" s="4"/>
      <c r="J50" s="4"/>
      <c r="K50" s="4"/>
      <c r="L50" s="4"/>
    </row>
    <row r="51" spans="1:12">
      <c r="A51" s="3" t="str">
        <f t="shared" si="1"/>
        <v>United States-gov</v>
      </c>
      <c r="B51" s="3" t="s">
        <v>21</v>
      </c>
      <c r="C51" s="3" t="s">
        <v>264</v>
      </c>
      <c r="D51" s="3" t="s">
        <v>329</v>
      </c>
      <c r="E51" s="3" t="str">
        <f t="shared" si="0"/>
        <v>US</v>
      </c>
      <c r="F51" s="3" t="s">
        <v>451</v>
      </c>
      <c r="G51" s="3" t="s">
        <v>23</v>
      </c>
      <c r="H51" s="4"/>
      <c r="I51" s="4"/>
      <c r="J51" s="4"/>
      <c r="K51" s="4"/>
      <c r="L51" s="4"/>
    </row>
    <row r="52" spans="1:12">
      <c r="A52" s="3" t="str">
        <f t="shared" si="1"/>
        <v>United States-gov</v>
      </c>
      <c r="B52" s="3" t="s">
        <v>21</v>
      </c>
      <c r="C52" s="3" t="s">
        <v>264</v>
      </c>
      <c r="D52" s="3" t="s">
        <v>329</v>
      </c>
      <c r="E52" s="3" t="str">
        <f t="shared" si="0"/>
        <v>US</v>
      </c>
      <c r="F52" s="3" t="s">
        <v>460</v>
      </c>
      <c r="G52" s="3" t="s">
        <v>23</v>
      </c>
      <c r="H52" s="4"/>
      <c r="I52" s="4"/>
      <c r="J52" s="4"/>
      <c r="K52" s="4"/>
      <c r="L52" s="4"/>
    </row>
    <row r="53" spans="1:12">
      <c r="A53" s="3" t="str">
        <f t="shared" si="1"/>
        <v>United States-gov</v>
      </c>
      <c r="B53" s="3" t="s">
        <v>21</v>
      </c>
      <c r="C53" s="3" t="s">
        <v>264</v>
      </c>
      <c r="D53" s="3" t="s">
        <v>329</v>
      </c>
      <c r="E53" s="3" t="str">
        <f t="shared" si="0"/>
        <v>US</v>
      </c>
      <c r="F53" s="3" t="s">
        <v>285</v>
      </c>
      <c r="G53" s="3" t="s">
        <v>113</v>
      </c>
      <c r="H53" s="4"/>
      <c r="I53" s="4"/>
      <c r="J53" s="4"/>
      <c r="K53" s="4"/>
      <c r="L53" s="4"/>
    </row>
    <row r="54" spans="1:12">
      <c r="A54" s="3" t="str">
        <f t="shared" si="1"/>
        <v>United States-gov</v>
      </c>
      <c r="B54" s="3" t="s">
        <v>21</v>
      </c>
      <c r="C54" s="3" t="s">
        <v>264</v>
      </c>
      <c r="D54" s="3" t="s">
        <v>329</v>
      </c>
      <c r="E54" s="3" t="str">
        <f t="shared" si="0"/>
        <v>US</v>
      </c>
      <c r="F54" s="3" t="s">
        <v>461</v>
      </c>
      <c r="G54" s="3" t="s">
        <v>238</v>
      </c>
      <c r="H54" s="4"/>
      <c r="I54" s="4"/>
      <c r="J54" s="4"/>
      <c r="K54" s="4"/>
      <c r="L54" s="4"/>
    </row>
    <row r="55" spans="1:12">
      <c r="A55" s="3" t="str">
        <f t="shared" si="1"/>
        <v>United States-gov</v>
      </c>
      <c r="B55" s="3" t="s">
        <v>21</v>
      </c>
      <c r="C55" s="3" t="s">
        <v>264</v>
      </c>
      <c r="D55" s="3" t="s">
        <v>329</v>
      </c>
      <c r="E55" s="3" t="str">
        <f t="shared" si="0"/>
        <v>US</v>
      </c>
      <c r="F55" s="3" t="s">
        <v>462</v>
      </c>
      <c r="G55" s="3" t="s">
        <v>235</v>
      </c>
      <c r="H55" s="4"/>
      <c r="I55" s="4"/>
      <c r="J55" s="4"/>
      <c r="K55" s="4"/>
      <c r="L55" s="4"/>
    </row>
    <row r="56" spans="1:12">
      <c r="A56" s="3" t="str">
        <f t="shared" si="1"/>
        <v>United States-gov</v>
      </c>
      <c r="B56" s="3" t="s">
        <v>21</v>
      </c>
      <c r="C56" s="3" t="s">
        <v>264</v>
      </c>
      <c r="D56" s="3" t="s">
        <v>329</v>
      </c>
      <c r="E56" s="3" t="str">
        <f t="shared" si="0"/>
        <v>US</v>
      </c>
      <c r="F56" s="3" t="s">
        <v>397</v>
      </c>
      <c r="G56" s="3" t="s">
        <v>58</v>
      </c>
      <c r="H56" s="4"/>
      <c r="I56" s="4"/>
      <c r="J56" s="4"/>
      <c r="K56" s="4"/>
      <c r="L56" s="4"/>
    </row>
    <row r="57" spans="1:12">
      <c r="A57" s="3" t="str">
        <f t="shared" si="1"/>
        <v>United States-gov</v>
      </c>
      <c r="B57" s="3" t="s">
        <v>21</v>
      </c>
      <c r="C57" s="3" t="s">
        <v>264</v>
      </c>
      <c r="D57" s="3" t="s">
        <v>329</v>
      </c>
      <c r="E57" s="3" t="str">
        <f t="shared" si="0"/>
        <v>US</v>
      </c>
      <c r="F57" s="3" t="s">
        <v>463</v>
      </c>
      <c r="G57" s="3" t="s">
        <v>130</v>
      </c>
      <c r="H57" s="4"/>
      <c r="I57" s="4"/>
      <c r="J57" s="4"/>
      <c r="K57" s="4"/>
      <c r="L57" s="4"/>
    </row>
    <row r="58" spans="1:12">
      <c r="A58" s="3" t="str">
        <f t="shared" ref="A58:A71" si="2">C58&amp;"-"&amp;B58</f>
        <v>United States-gov</v>
      </c>
      <c r="B58" s="3" t="s">
        <v>21</v>
      </c>
      <c r="C58" s="3" t="s">
        <v>264</v>
      </c>
      <c r="D58" s="3" t="s">
        <v>329</v>
      </c>
      <c r="E58" s="3" t="str">
        <f t="shared" ref="E58:E71" si="3">IF(OR(D58="Doubao Seed 2.0 Pro",D58="DeepSeek Reasoner V3.2"),"China","US")</f>
        <v>US</v>
      </c>
      <c r="F58" s="3" t="s">
        <v>464</v>
      </c>
      <c r="G58" s="3" t="s">
        <v>23</v>
      </c>
      <c r="H58" s="4"/>
      <c r="I58" s="4"/>
      <c r="J58" s="4"/>
      <c r="K58" s="4"/>
      <c r="L58" s="4"/>
    </row>
    <row r="59" spans="1:12">
      <c r="A59" s="3" t="str">
        <f t="shared" si="2"/>
        <v>United States-gov</v>
      </c>
      <c r="B59" s="3" t="s">
        <v>21</v>
      </c>
      <c r="C59" s="3" t="s">
        <v>264</v>
      </c>
      <c r="D59" s="3" t="s">
        <v>329</v>
      </c>
      <c r="E59" s="3" t="str">
        <f t="shared" si="3"/>
        <v>US</v>
      </c>
      <c r="F59" s="3" t="s">
        <v>393</v>
      </c>
      <c r="G59" s="3" t="s">
        <v>85</v>
      </c>
      <c r="H59" s="4"/>
      <c r="I59" s="4"/>
      <c r="J59" s="4"/>
      <c r="K59" s="4"/>
      <c r="L59" s="4"/>
    </row>
    <row r="60" spans="1:12">
      <c r="A60" s="3" t="str">
        <f t="shared" si="2"/>
        <v>United States-gov</v>
      </c>
      <c r="B60" s="3" t="s">
        <v>21</v>
      </c>
      <c r="C60" s="3" t="s">
        <v>264</v>
      </c>
      <c r="D60" s="3" t="s">
        <v>329</v>
      </c>
      <c r="E60" s="3" t="str">
        <f t="shared" si="3"/>
        <v>US</v>
      </c>
      <c r="F60" s="3" t="s">
        <v>298</v>
      </c>
      <c r="G60" s="3" t="s">
        <v>121</v>
      </c>
      <c r="H60" s="4"/>
      <c r="I60" s="4"/>
      <c r="J60" s="4"/>
      <c r="K60" s="4"/>
      <c r="L60" s="4"/>
    </row>
    <row r="61" spans="1:12">
      <c r="A61" s="3" t="str">
        <f t="shared" si="2"/>
        <v>United States-gov</v>
      </c>
      <c r="B61" s="3" t="s">
        <v>21</v>
      </c>
      <c r="C61" s="3" t="s">
        <v>264</v>
      </c>
      <c r="D61" s="3" t="s">
        <v>329</v>
      </c>
      <c r="E61" s="3" t="str">
        <f t="shared" si="3"/>
        <v>US</v>
      </c>
      <c r="F61" s="3" t="s">
        <v>274</v>
      </c>
      <c r="G61" s="3" t="s">
        <v>121</v>
      </c>
      <c r="H61" s="4"/>
      <c r="I61" s="4"/>
      <c r="J61" s="4"/>
      <c r="K61" s="4"/>
      <c r="L61" s="4"/>
    </row>
    <row r="62" spans="1:12">
      <c r="A62" s="3" t="str">
        <f t="shared" si="2"/>
        <v>United States-gov</v>
      </c>
      <c r="B62" s="3" t="s">
        <v>21</v>
      </c>
      <c r="C62" s="3" t="s">
        <v>264</v>
      </c>
      <c r="D62" s="3" t="s">
        <v>329</v>
      </c>
      <c r="E62" s="3" t="str">
        <f t="shared" si="3"/>
        <v>US</v>
      </c>
      <c r="F62" s="3" t="s">
        <v>325</v>
      </c>
      <c r="G62" s="3" t="s">
        <v>122</v>
      </c>
      <c r="H62" s="4"/>
      <c r="I62" s="4"/>
      <c r="J62" s="4"/>
      <c r="K62" s="4"/>
      <c r="L62" s="4"/>
    </row>
    <row r="63" spans="1:12">
      <c r="A63" s="3" t="str">
        <f t="shared" si="2"/>
        <v>United States-gov</v>
      </c>
      <c r="B63" s="3" t="s">
        <v>21</v>
      </c>
      <c r="C63" s="3" t="s">
        <v>264</v>
      </c>
      <c r="D63" s="3" t="s">
        <v>329</v>
      </c>
      <c r="E63" s="3" t="str">
        <f t="shared" si="3"/>
        <v>US</v>
      </c>
      <c r="F63" s="3" t="s">
        <v>418</v>
      </c>
      <c r="G63" s="3" t="s">
        <v>123</v>
      </c>
      <c r="H63" s="4"/>
      <c r="I63" s="4"/>
      <c r="J63" s="4"/>
      <c r="K63" s="4"/>
      <c r="L63" s="4"/>
    </row>
    <row r="64" spans="1:12">
      <c r="A64" s="3" t="str">
        <f t="shared" si="2"/>
        <v>United States-gov</v>
      </c>
      <c r="B64" s="3" t="s">
        <v>21</v>
      </c>
      <c r="C64" s="3" t="s">
        <v>264</v>
      </c>
      <c r="D64" s="3" t="s">
        <v>329</v>
      </c>
      <c r="E64" s="3" t="str">
        <f t="shared" si="3"/>
        <v>US</v>
      </c>
      <c r="F64" s="3" t="s">
        <v>400</v>
      </c>
      <c r="G64" s="3" t="s">
        <v>95</v>
      </c>
      <c r="H64" s="4"/>
      <c r="I64" s="4"/>
      <c r="J64" s="4"/>
      <c r="K64" s="4"/>
      <c r="L64" s="4"/>
    </row>
    <row r="65" spans="1:12">
      <c r="A65" s="3" t="str">
        <f t="shared" si="2"/>
        <v>United States-gov</v>
      </c>
      <c r="B65" s="3" t="s">
        <v>21</v>
      </c>
      <c r="C65" s="3" t="s">
        <v>264</v>
      </c>
      <c r="D65" s="3" t="s">
        <v>329</v>
      </c>
      <c r="E65" s="3" t="str">
        <f t="shared" si="3"/>
        <v>US</v>
      </c>
      <c r="F65" s="3" t="s">
        <v>286</v>
      </c>
      <c r="G65" s="3" t="s">
        <v>124</v>
      </c>
      <c r="H65" s="4"/>
      <c r="I65" s="4"/>
      <c r="J65" s="4"/>
      <c r="K65" s="4"/>
      <c r="L65" s="4"/>
    </row>
    <row r="66" spans="1:12">
      <c r="A66" s="3" t="str">
        <f t="shared" si="2"/>
        <v>United States-gov</v>
      </c>
      <c r="B66" s="3" t="s">
        <v>21</v>
      </c>
      <c r="C66" s="3" t="s">
        <v>264</v>
      </c>
      <c r="D66" s="3" t="s">
        <v>329</v>
      </c>
      <c r="E66" s="3" t="str">
        <f t="shared" si="3"/>
        <v>US</v>
      </c>
      <c r="F66" s="3" t="s">
        <v>465</v>
      </c>
      <c r="G66" s="3" t="s">
        <v>101</v>
      </c>
      <c r="H66" s="4"/>
      <c r="I66" s="4"/>
      <c r="J66" s="4"/>
      <c r="K66" s="4"/>
      <c r="L66" s="4"/>
    </row>
    <row r="67" spans="1:12">
      <c r="A67" s="3" t="str">
        <f t="shared" si="2"/>
        <v>United States-gov</v>
      </c>
      <c r="B67" s="3" t="s">
        <v>21</v>
      </c>
      <c r="C67" s="3" t="s">
        <v>264</v>
      </c>
      <c r="D67" s="3" t="s">
        <v>329</v>
      </c>
      <c r="E67" s="3" t="str">
        <f t="shared" si="3"/>
        <v>US</v>
      </c>
      <c r="F67" s="3" t="s">
        <v>321</v>
      </c>
      <c r="G67" s="3" t="s">
        <v>93</v>
      </c>
      <c r="H67" s="4"/>
      <c r="I67" s="4"/>
      <c r="J67" s="4"/>
      <c r="K67" s="4"/>
      <c r="L67" s="4"/>
    </row>
    <row r="68" spans="1:12">
      <c r="A68" s="3" t="str">
        <f t="shared" si="2"/>
        <v>United States-gov</v>
      </c>
      <c r="B68" s="3" t="s">
        <v>21</v>
      </c>
      <c r="C68" s="3" t="s">
        <v>264</v>
      </c>
      <c r="D68" s="3" t="s">
        <v>329</v>
      </c>
      <c r="E68" s="3" t="str">
        <f t="shared" si="3"/>
        <v>US</v>
      </c>
      <c r="F68" s="3" t="s">
        <v>129</v>
      </c>
      <c r="G68" s="3" t="s">
        <v>129</v>
      </c>
      <c r="H68" s="4"/>
      <c r="I68" s="4"/>
      <c r="J68" s="4"/>
      <c r="K68" s="4"/>
      <c r="L68" s="4"/>
    </row>
    <row r="69" spans="1:12">
      <c r="A69" s="3" t="str">
        <f t="shared" si="2"/>
        <v>United States-gov</v>
      </c>
      <c r="B69" s="3" t="s">
        <v>21</v>
      </c>
      <c r="C69" s="3" t="s">
        <v>264</v>
      </c>
      <c r="D69" s="3" t="s">
        <v>329</v>
      </c>
      <c r="E69" s="3" t="str">
        <f t="shared" si="3"/>
        <v>US</v>
      </c>
      <c r="F69" s="3" t="s">
        <v>310</v>
      </c>
      <c r="G69" s="3" t="s">
        <v>204</v>
      </c>
      <c r="H69" s="4"/>
      <c r="I69" s="4"/>
      <c r="J69" s="4"/>
      <c r="K69" s="4"/>
      <c r="L69" s="4"/>
    </row>
    <row r="70" spans="1:12">
      <c r="A70" s="3" t="str">
        <f t="shared" si="2"/>
        <v>United States-gov</v>
      </c>
      <c r="B70" s="3" t="s">
        <v>21</v>
      </c>
      <c r="C70" s="3" t="s">
        <v>264</v>
      </c>
      <c r="D70" s="3" t="s">
        <v>329</v>
      </c>
      <c r="E70" s="3" t="str">
        <f t="shared" si="3"/>
        <v>US</v>
      </c>
      <c r="F70" s="3" t="s">
        <v>311</v>
      </c>
      <c r="G70" s="3" t="s">
        <v>204</v>
      </c>
      <c r="H70" s="4"/>
      <c r="I70" s="4"/>
      <c r="J70" s="4"/>
      <c r="K70" s="4"/>
      <c r="L70" s="4"/>
    </row>
    <row r="71" spans="1:12">
      <c r="A71" s="3" t="str">
        <f t="shared" si="2"/>
        <v>United States-gov</v>
      </c>
      <c r="B71" s="3" t="s">
        <v>21</v>
      </c>
      <c r="C71" s="3" t="s">
        <v>264</v>
      </c>
      <c r="D71" s="3" t="s">
        <v>329</v>
      </c>
      <c r="E71" s="3" t="str">
        <f t="shared" si="3"/>
        <v>US</v>
      </c>
      <c r="F71" s="3" t="s">
        <v>399</v>
      </c>
      <c r="G71" s="3" t="s">
        <v>211</v>
      </c>
      <c r="H71" s="4"/>
      <c r="I71" s="4"/>
      <c r="J71" s="4"/>
      <c r="K71" s="4"/>
      <c r="L71" s="4"/>
    </row>
    <row r="72" spans="1:12">
      <c r="A72" s="3" t="str">
        <f t="shared" ref="A72:A78" si="4">C72&amp;"-"&amp;B72</f>
        <v>United States-gov</v>
      </c>
      <c r="B72" s="3" t="s">
        <v>21</v>
      </c>
      <c r="C72" s="3" t="s">
        <v>264</v>
      </c>
      <c r="D72" s="3" t="s">
        <v>329</v>
      </c>
      <c r="E72" s="3" t="str">
        <f t="shared" ref="E72:E78" si="5">IF(OR(D72="Doubao Seed 2.0 Pro",D72="DeepSeek Reasoner V3.2"),"China","US")</f>
        <v>US</v>
      </c>
      <c r="F72" s="3" t="s">
        <v>466</v>
      </c>
      <c r="G72" s="3" t="s">
        <v>235</v>
      </c>
      <c r="H72" s="4"/>
      <c r="I72" s="4"/>
      <c r="J72" s="4"/>
      <c r="K72" s="4"/>
      <c r="L72" s="4"/>
    </row>
    <row r="73" spans="1:12">
      <c r="A73" s="3" t="str">
        <f t="shared" si="4"/>
        <v>United States-gov</v>
      </c>
      <c r="B73" s="3" t="s">
        <v>21</v>
      </c>
      <c r="C73" s="3" t="s">
        <v>264</v>
      </c>
      <c r="D73" s="3" t="s">
        <v>329</v>
      </c>
      <c r="E73" s="3" t="str">
        <f t="shared" si="5"/>
        <v>US</v>
      </c>
      <c r="F73" s="3" t="s">
        <v>467</v>
      </c>
      <c r="G73" s="3" t="s">
        <v>243</v>
      </c>
      <c r="H73" s="4"/>
      <c r="I73" s="4"/>
      <c r="J73" s="4"/>
      <c r="K73" s="4"/>
      <c r="L73" s="4"/>
    </row>
    <row r="74" spans="1:12">
      <c r="A74" s="3" t="str">
        <f t="shared" si="4"/>
        <v>United States-gov</v>
      </c>
      <c r="B74" s="3" t="s">
        <v>21</v>
      </c>
      <c r="C74" s="3" t="s">
        <v>264</v>
      </c>
      <c r="D74" s="3" t="s">
        <v>329</v>
      </c>
      <c r="E74" s="3" t="str">
        <f t="shared" si="5"/>
        <v>US</v>
      </c>
      <c r="F74" s="3" t="s">
        <v>468</v>
      </c>
      <c r="G74" s="3" t="s">
        <v>125</v>
      </c>
      <c r="H74" s="4"/>
      <c r="I74" s="4"/>
      <c r="J74" s="4"/>
      <c r="K74" s="4"/>
      <c r="L74" s="4"/>
    </row>
    <row r="75" spans="1:12">
      <c r="A75" s="3" t="str">
        <f t="shared" si="4"/>
        <v>United States-gov</v>
      </c>
      <c r="B75" s="3" t="s">
        <v>21</v>
      </c>
      <c r="C75" s="3" t="s">
        <v>264</v>
      </c>
      <c r="D75" s="3" t="s">
        <v>329</v>
      </c>
      <c r="E75" s="3" t="str">
        <f t="shared" si="5"/>
        <v>US</v>
      </c>
      <c r="F75" s="3" t="s">
        <v>469</v>
      </c>
      <c r="G75" s="3" t="s">
        <v>236</v>
      </c>
      <c r="H75" s="4"/>
      <c r="I75" s="4"/>
      <c r="J75" s="4"/>
      <c r="K75" s="4"/>
      <c r="L75" s="4"/>
    </row>
    <row r="76" spans="1:12">
      <c r="A76" s="3" t="str">
        <f t="shared" si="4"/>
        <v>United States-gov</v>
      </c>
      <c r="B76" s="3" t="s">
        <v>21</v>
      </c>
      <c r="C76" s="3" t="s">
        <v>264</v>
      </c>
      <c r="D76" s="3" t="s">
        <v>329</v>
      </c>
      <c r="E76" s="3" t="str">
        <f t="shared" si="5"/>
        <v>US</v>
      </c>
      <c r="F76" s="3" t="s">
        <v>449</v>
      </c>
      <c r="G76" s="3" t="s">
        <v>101</v>
      </c>
      <c r="H76" s="4"/>
      <c r="I76" s="4"/>
      <c r="J76" s="4"/>
      <c r="K76" s="4"/>
      <c r="L76" s="4"/>
    </row>
    <row r="77" spans="1:12">
      <c r="A77" s="3" t="str">
        <f t="shared" si="4"/>
        <v>United States-gov</v>
      </c>
      <c r="B77" s="3" t="s">
        <v>21</v>
      </c>
      <c r="C77" s="3" t="s">
        <v>264</v>
      </c>
      <c r="D77" s="3" t="s">
        <v>329</v>
      </c>
      <c r="E77" s="3" t="str">
        <f t="shared" si="5"/>
        <v>US</v>
      </c>
      <c r="F77" s="3" t="s">
        <v>470</v>
      </c>
      <c r="G77" s="3" t="s">
        <v>23</v>
      </c>
      <c r="H77" s="4"/>
      <c r="I77" s="4"/>
      <c r="J77" s="4"/>
      <c r="K77" s="4"/>
      <c r="L77" s="4"/>
    </row>
    <row r="78" spans="1:12">
      <c r="A78" s="3" t="str">
        <f t="shared" si="4"/>
        <v>United States-gov</v>
      </c>
      <c r="B78" s="3" t="s">
        <v>21</v>
      </c>
      <c r="C78" s="3" t="s">
        <v>264</v>
      </c>
      <c r="D78" s="3" t="s">
        <v>329</v>
      </c>
      <c r="E78" s="3" t="str">
        <f t="shared" si="5"/>
        <v>US</v>
      </c>
      <c r="F78" s="3" t="s">
        <v>447</v>
      </c>
      <c r="G78" s="3" t="s">
        <v>125</v>
      </c>
      <c r="H78" s="4"/>
      <c r="I78" s="4"/>
      <c r="J78" s="4"/>
      <c r="K78" s="4"/>
      <c r="L78" s="4"/>
    </row>
    <row r="79" spans="1:12">
      <c r="A79" s="4" t="s">
        <v>419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3" t="str">
        <f>C82&amp;"-"&amp;B82</f>
        <v>United States-gov</v>
      </c>
      <c r="B82" s="3" t="s">
        <v>21</v>
      </c>
      <c r="C82" s="3" t="s">
        <v>264</v>
      </c>
      <c r="D82" s="4" t="s">
        <v>197</v>
      </c>
      <c r="E82" s="4"/>
      <c r="F82" s="4"/>
      <c r="G82" s="3" t="s">
        <v>130</v>
      </c>
      <c r="H82" s="8">
        <v>1</v>
      </c>
      <c r="I82" s="8"/>
      <c r="J82" s="8"/>
      <c r="K82" s="8" t="s">
        <v>199</v>
      </c>
      <c r="L82" s="8" t="s">
        <v>200</v>
      </c>
    </row>
    <row r="83" spans="1:12">
      <c r="A83" s="3" t="str">
        <f t="shared" ref="A83:A101" si="6">C83&amp;"-"&amp;B83</f>
        <v>United States-gov</v>
      </c>
      <c r="B83" s="3" t="s">
        <v>21</v>
      </c>
      <c r="C83" s="3" t="s">
        <v>264</v>
      </c>
      <c r="D83" s="4"/>
      <c r="E83" s="4"/>
      <c r="F83" s="4"/>
      <c r="G83" s="12" t="s">
        <v>129</v>
      </c>
      <c r="H83" s="8" t="s">
        <v>230</v>
      </c>
      <c r="I83" s="8" t="s">
        <v>245</v>
      </c>
      <c r="J83" s="8" t="s">
        <v>48</v>
      </c>
      <c r="K83" s="8"/>
      <c r="L83" s="8"/>
    </row>
    <row r="84" spans="1:12">
      <c r="A84" s="3" t="str">
        <f t="shared" si="6"/>
        <v>United States-gov</v>
      </c>
      <c r="B84" s="3" t="s">
        <v>21</v>
      </c>
      <c r="C84" s="3" t="s">
        <v>264</v>
      </c>
      <c r="D84" s="4"/>
      <c r="E84" s="4"/>
      <c r="F84" s="4"/>
      <c r="G84" s="3" t="s">
        <v>235</v>
      </c>
      <c r="H84" s="8">
        <v>1</v>
      </c>
      <c r="I84" s="8"/>
      <c r="J84" s="8"/>
      <c r="K84" s="8" t="s">
        <v>199</v>
      </c>
      <c r="L84" s="8" t="s">
        <v>200</v>
      </c>
    </row>
    <row r="85" spans="1:12">
      <c r="A85" s="3" t="str">
        <f t="shared" si="6"/>
        <v>United States-gov</v>
      </c>
      <c r="B85" s="3" t="s">
        <v>21</v>
      </c>
      <c r="C85" s="3" t="s">
        <v>264</v>
      </c>
      <c r="D85" s="4"/>
      <c r="E85" s="4"/>
      <c r="F85" s="4"/>
      <c r="G85" s="3" t="s">
        <v>236</v>
      </c>
      <c r="H85" s="8">
        <v>1</v>
      </c>
      <c r="I85" s="8"/>
      <c r="J85" s="8"/>
      <c r="K85" s="8" t="s">
        <v>199</v>
      </c>
      <c r="L85" s="8" t="s">
        <v>200</v>
      </c>
    </row>
    <row r="86" spans="1:12">
      <c r="A86" s="3" t="str">
        <f t="shared" si="6"/>
        <v>United States-gov</v>
      </c>
      <c r="B86" s="3" t="s">
        <v>21</v>
      </c>
      <c r="C86" s="3" t="s">
        <v>264</v>
      </c>
      <c r="D86" s="4"/>
      <c r="E86" s="4"/>
      <c r="F86" s="4"/>
      <c r="G86" s="3" t="s">
        <v>126</v>
      </c>
      <c r="H86" s="8">
        <v>1</v>
      </c>
      <c r="I86" s="7"/>
      <c r="J86" s="7"/>
      <c r="K86" s="8" t="s">
        <v>199</v>
      </c>
      <c r="L86" s="8" t="s">
        <v>200</v>
      </c>
    </row>
    <row r="87" spans="1:12">
      <c r="A87" s="3" t="str">
        <f t="shared" si="6"/>
        <v>United States-gov</v>
      </c>
      <c r="B87" s="3" t="s">
        <v>21</v>
      </c>
      <c r="C87" s="3" t="s">
        <v>264</v>
      </c>
      <c r="D87" s="4"/>
      <c r="E87" s="4"/>
      <c r="F87" s="4"/>
      <c r="G87" s="12" t="s">
        <v>125</v>
      </c>
      <c r="H87" s="8" t="s">
        <v>230</v>
      </c>
      <c r="I87" s="7">
        <v>92751</v>
      </c>
      <c r="J87" s="7" t="s">
        <v>32</v>
      </c>
      <c r="K87" s="8"/>
      <c r="L87" s="8"/>
    </row>
    <row r="88" spans="1:12">
      <c r="A88" s="3" t="str">
        <f t="shared" si="6"/>
        <v>United States-gov</v>
      </c>
      <c r="B88" s="3" t="s">
        <v>21</v>
      </c>
      <c r="C88" s="3" t="s">
        <v>264</v>
      </c>
      <c r="D88" s="4"/>
      <c r="E88" s="4"/>
      <c r="F88" s="4"/>
      <c r="G88" s="12" t="s">
        <v>124</v>
      </c>
      <c r="H88" s="8" t="s">
        <v>230</v>
      </c>
      <c r="I88" s="8" t="s">
        <v>245</v>
      </c>
      <c r="J88" s="8" t="s">
        <v>48</v>
      </c>
      <c r="K88" s="8"/>
      <c r="L88" s="8"/>
    </row>
    <row r="89" spans="1:12">
      <c r="A89" s="3" t="str">
        <f t="shared" si="6"/>
        <v>United States-gov</v>
      </c>
      <c r="B89" s="3" t="s">
        <v>21</v>
      </c>
      <c r="C89" s="3" t="s">
        <v>264</v>
      </c>
      <c r="D89" s="4"/>
      <c r="E89" s="4"/>
      <c r="F89" s="4"/>
      <c r="G89" s="3" t="s">
        <v>123</v>
      </c>
      <c r="H89" s="8">
        <v>1</v>
      </c>
      <c r="I89" s="8"/>
      <c r="J89" s="8"/>
      <c r="K89" s="8" t="s">
        <v>24</v>
      </c>
      <c r="L89" s="8" t="s">
        <v>25</v>
      </c>
    </row>
    <row r="90" spans="1:12">
      <c r="A90" s="3" t="str">
        <f t="shared" si="6"/>
        <v>United States-gov</v>
      </c>
      <c r="B90" s="3" t="s">
        <v>21</v>
      </c>
      <c r="C90" s="3" t="s">
        <v>264</v>
      </c>
      <c r="D90" s="4"/>
      <c r="E90" s="4"/>
      <c r="F90" s="4"/>
      <c r="G90" s="3" t="s">
        <v>122</v>
      </c>
      <c r="H90" s="8">
        <v>1</v>
      </c>
      <c r="I90" s="7"/>
      <c r="J90" s="7"/>
      <c r="K90" s="8" t="s">
        <v>24</v>
      </c>
      <c r="L90" s="8" t="s">
        <v>55</v>
      </c>
    </row>
    <row r="91" spans="1:12">
      <c r="A91" s="3" t="str">
        <f t="shared" si="6"/>
        <v>United States-gov</v>
      </c>
      <c r="B91" s="3" t="s">
        <v>21</v>
      </c>
      <c r="C91" s="3" t="s">
        <v>264</v>
      </c>
      <c r="D91" s="4"/>
      <c r="E91" s="4"/>
      <c r="F91" s="4"/>
      <c r="G91" s="3" t="s">
        <v>121</v>
      </c>
      <c r="H91" s="8">
        <v>1</v>
      </c>
      <c r="I91" s="8"/>
      <c r="J91" s="8"/>
      <c r="K91" s="8" t="s">
        <v>24</v>
      </c>
      <c r="L91" s="8" t="s">
        <v>25</v>
      </c>
    </row>
    <row r="92" spans="1:12">
      <c r="A92" s="3" t="str">
        <f t="shared" si="6"/>
        <v>United States-gov</v>
      </c>
      <c r="B92" s="3" t="s">
        <v>21</v>
      </c>
      <c r="C92" s="3" t="s">
        <v>264</v>
      </c>
      <c r="D92" s="4"/>
      <c r="E92" s="4"/>
      <c r="F92" s="4"/>
      <c r="G92" s="12" t="s">
        <v>204</v>
      </c>
      <c r="H92" s="8" t="s">
        <v>230</v>
      </c>
      <c r="I92" s="8" t="s">
        <v>245</v>
      </c>
      <c r="J92" s="8" t="s">
        <v>48</v>
      </c>
      <c r="K92" s="8"/>
      <c r="L92" s="8"/>
    </row>
    <row r="93" spans="1:12">
      <c r="A93" s="3" t="str">
        <f t="shared" si="6"/>
        <v>United States-gov</v>
      </c>
      <c r="B93" s="3" t="s">
        <v>21</v>
      </c>
      <c r="C93" s="3" t="s">
        <v>264</v>
      </c>
      <c r="D93" s="4"/>
      <c r="E93" s="4"/>
      <c r="F93" s="4"/>
      <c r="G93" s="12" t="s">
        <v>113</v>
      </c>
      <c r="H93" s="8" t="s">
        <v>230</v>
      </c>
      <c r="I93" s="7">
        <v>30390</v>
      </c>
      <c r="J93" s="7" t="s">
        <v>48</v>
      </c>
      <c r="K93" s="8"/>
      <c r="L93" s="8"/>
    </row>
    <row r="94" spans="1:12">
      <c r="A94" s="3" t="str">
        <f t="shared" si="6"/>
        <v>United States-gov</v>
      </c>
      <c r="B94" s="3" t="s">
        <v>21</v>
      </c>
      <c r="C94" s="3" t="s">
        <v>264</v>
      </c>
      <c r="D94" s="4"/>
      <c r="E94" s="4"/>
      <c r="F94" s="4"/>
      <c r="G94" s="3" t="s">
        <v>237</v>
      </c>
      <c r="H94" s="8">
        <v>1</v>
      </c>
      <c r="I94" s="8"/>
      <c r="J94" s="8"/>
      <c r="K94" s="8" t="s">
        <v>199</v>
      </c>
      <c r="L94" s="8" t="s">
        <v>200</v>
      </c>
    </row>
    <row r="95" spans="1:12">
      <c r="A95" s="3" t="str">
        <f t="shared" si="6"/>
        <v>United States-gov</v>
      </c>
      <c r="B95" s="3" t="s">
        <v>21</v>
      </c>
      <c r="C95" s="3" t="s">
        <v>264</v>
      </c>
      <c r="D95" s="4"/>
      <c r="E95" s="4"/>
      <c r="F95" s="4"/>
      <c r="G95" s="12" t="s">
        <v>238</v>
      </c>
      <c r="H95" s="8" t="s">
        <v>230</v>
      </c>
      <c r="I95" s="7">
        <v>54182</v>
      </c>
      <c r="J95" s="7" t="s">
        <v>48</v>
      </c>
      <c r="K95" s="3"/>
      <c r="L95" s="8"/>
    </row>
    <row r="96" spans="1:12">
      <c r="A96" s="3" t="str">
        <f t="shared" si="6"/>
        <v>United States-gov</v>
      </c>
      <c r="B96" s="3" t="s">
        <v>21</v>
      </c>
      <c r="C96" s="3" t="s">
        <v>264</v>
      </c>
      <c r="D96" s="4"/>
      <c r="E96" s="4"/>
      <c r="F96" s="4"/>
      <c r="G96" s="3" t="s">
        <v>239</v>
      </c>
      <c r="H96" s="8">
        <v>1</v>
      </c>
      <c r="I96" s="8"/>
      <c r="J96" s="8"/>
      <c r="K96" s="8" t="s">
        <v>199</v>
      </c>
      <c r="L96" s="8" t="s">
        <v>200</v>
      </c>
    </row>
    <row r="97" spans="1:12">
      <c r="A97" s="3" t="str">
        <f t="shared" si="6"/>
        <v>United States-gov</v>
      </c>
      <c r="B97" s="3" t="s">
        <v>21</v>
      </c>
      <c r="C97" s="3" t="s">
        <v>264</v>
      </c>
      <c r="D97" s="4"/>
      <c r="E97" s="4"/>
      <c r="F97" s="4"/>
      <c r="G97" s="3" t="s">
        <v>108</v>
      </c>
      <c r="H97" s="8">
        <v>1</v>
      </c>
      <c r="I97" s="8"/>
      <c r="J97" s="8"/>
      <c r="K97" s="8" t="s">
        <v>199</v>
      </c>
      <c r="L97" s="8" t="s">
        <v>200</v>
      </c>
    </row>
    <row r="98" spans="1:12">
      <c r="A98" s="3" t="str">
        <f t="shared" si="6"/>
        <v>United States-gov</v>
      </c>
      <c r="B98" s="3" t="s">
        <v>21</v>
      </c>
      <c r="C98" s="3" t="s">
        <v>264</v>
      </c>
      <c r="D98" s="4"/>
      <c r="E98" s="4"/>
      <c r="F98" s="4"/>
      <c r="G98" s="3" t="s">
        <v>107</v>
      </c>
      <c r="H98" s="8">
        <v>1</v>
      </c>
      <c r="I98" s="7"/>
      <c r="J98" s="8"/>
      <c r="K98" s="8" t="s">
        <v>199</v>
      </c>
      <c r="L98" s="8" t="s">
        <v>200</v>
      </c>
    </row>
    <row r="99" spans="1:12">
      <c r="A99" s="3" t="str">
        <f t="shared" si="6"/>
        <v>United States-gov</v>
      </c>
      <c r="B99" s="3" t="s">
        <v>21</v>
      </c>
      <c r="C99" s="3" t="s">
        <v>264</v>
      </c>
      <c r="D99" s="4"/>
      <c r="E99" s="4"/>
      <c r="F99" s="4"/>
      <c r="G99" s="12" t="s">
        <v>106</v>
      </c>
      <c r="H99" s="8" t="s">
        <v>230</v>
      </c>
      <c r="I99" s="8" t="s">
        <v>245</v>
      </c>
      <c r="J99" s="8" t="s">
        <v>48</v>
      </c>
      <c r="K99" s="3"/>
      <c r="L99" s="8"/>
    </row>
    <row r="100" spans="1:12">
      <c r="A100" s="3" t="str">
        <f t="shared" si="6"/>
        <v>United States-gov</v>
      </c>
      <c r="B100" s="3" t="s">
        <v>21</v>
      </c>
      <c r="C100" s="3" t="s">
        <v>264</v>
      </c>
      <c r="D100" s="4"/>
      <c r="E100" s="4"/>
      <c r="F100" s="4"/>
      <c r="G100" s="12" t="s">
        <v>104</v>
      </c>
      <c r="H100" s="8" t="s">
        <v>230</v>
      </c>
      <c r="I100" s="7">
        <v>67871</v>
      </c>
      <c r="J100" s="7" t="s">
        <v>32</v>
      </c>
      <c r="K100" s="8"/>
      <c r="L100" s="8"/>
    </row>
    <row r="101" spans="1:12">
      <c r="A101" s="3" t="str">
        <f t="shared" si="6"/>
        <v>United States-gov</v>
      </c>
      <c r="B101" s="3" t="s">
        <v>21</v>
      </c>
      <c r="C101" s="3" t="s">
        <v>264</v>
      </c>
      <c r="D101" s="4"/>
      <c r="E101" s="4"/>
      <c r="F101" s="4"/>
      <c r="G101" s="3" t="s">
        <v>101</v>
      </c>
      <c r="H101" s="8">
        <v>1</v>
      </c>
      <c r="I101" s="8"/>
      <c r="J101" s="8"/>
      <c r="K101" s="8" t="s">
        <v>24</v>
      </c>
      <c r="L101" s="8" t="s">
        <v>55</v>
      </c>
    </row>
    <row r="102" spans="1:12">
      <c r="A102" s="3" t="str">
        <f t="shared" ref="A102:A112" si="7">C102&amp;"-"&amp;B102</f>
        <v>United States-gov</v>
      </c>
      <c r="B102" s="3" t="s">
        <v>21</v>
      </c>
      <c r="C102" s="3" t="s">
        <v>264</v>
      </c>
      <c r="D102" s="4"/>
      <c r="E102" s="4"/>
      <c r="F102" s="4"/>
      <c r="G102" s="3" t="s">
        <v>100</v>
      </c>
      <c r="H102" s="8">
        <v>1</v>
      </c>
      <c r="I102" s="3"/>
      <c r="J102" s="3"/>
      <c r="K102" s="3" t="s">
        <v>24</v>
      </c>
      <c r="L102" s="8" t="s">
        <v>55</v>
      </c>
    </row>
    <row r="103" spans="1:12">
      <c r="A103" s="3" t="str">
        <f t="shared" si="7"/>
        <v>United States-gov</v>
      </c>
      <c r="B103" s="3" t="s">
        <v>21</v>
      </c>
      <c r="C103" s="3" t="s">
        <v>264</v>
      </c>
      <c r="D103" s="4"/>
      <c r="E103" s="4"/>
      <c r="F103" s="4"/>
      <c r="G103" s="12" t="s">
        <v>95</v>
      </c>
      <c r="H103" s="3" t="s">
        <v>230</v>
      </c>
      <c r="I103" s="3" t="s">
        <v>245</v>
      </c>
      <c r="J103" s="3" t="s">
        <v>48</v>
      </c>
      <c r="K103" s="3"/>
      <c r="L103" s="8"/>
    </row>
    <row r="104" spans="1:12">
      <c r="A104" s="3" t="str">
        <f t="shared" si="7"/>
        <v>United States-gov</v>
      </c>
      <c r="B104" s="3" t="s">
        <v>21</v>
      </c>
      <c r="C104" s="3" t="s">
        <v>264</v>
      </c>
      <c r="D104" s="4"/>
      <c r="E104" s="4"/>
      <c r="F104" s="4"/>
      <c r="G104" s="3" t="s">
        <v>240</v>
      </c>
      <c r="H104" s="8">
        <v>1</v>
      </c>
      <c r="I104" s="3"/>
      <c r="J104" s="3"/>
      <c r="K104" s="8" t="s">
        <v>199</v>
      </c>
      <c r="L104" s="8" t="s">
        <v>200</v>
      </c>
    </row>
    <row r="105" spans="1:12">
      <c r="A105" s="3" t="str">
        <f t="shared" si="7"/>
        <v>United States-gov</v>
      </c>
      <c r="B105" s="3" t="s">
        <v>21</v>
      </c>
      <c r="C105" s="3" t="s">
        <v>264</v>
      </c>
      <c r="D105" s="4"/>
      <c r="E105" s="4"/>
      <c r="F105" s="4"/>
      <c r="G105" s="3" t="s">
        <v>241</v>
      </c>
      <c r="H105" s="8">
        <v>1</v>
      </c>
      <c r="I105" s="3"/>
      <c r="J105" s="3"/>
      <c r="K105" s="8" t="s">
        <v>199</v>
      </c>
      <c r="L105" s="8" t="s">
        <v>200</v>
      </c>
    </row>
    <row r="106" spans="1:12">
      <c r="A106" s="3" t="str">
        <f t="shared" si="7"/>
        <v>United States-gov</v>
      </c>
      <c r="B106" s="3" t="s">
        <v>21</v>
      </c>
      <c r="C106" s="3" t="s">
        <v>264</v>
      </c>
      <c r="D106" s="4"/>
      <c r="E106" s="4"/>
      <c r="F106" s="4"/>
      <c r="G106" s="3" t="s">
        <v>93</v>
      </c>
      <c r="H106" s="3">
        <v>1</v>
      </c>
      <c r="I106" s="3"/>
      <c r="J106" s="3"/>
      <c r="K106" s="3" t="s">
        <v>24</v>
      </c>
      <c r="L106" s="3" t="s">
        <v>25</v>
      </c>
    </row>
    <row r="107" spans="1:12">
      <c r="A107" s="3" t="str">
        <f t="shared" si="7"/>
        <v>United States-gov</v>
      </c>
      <c r="B107" s="3" t="s">
        <v>21</v>
      </c>
      <c r="C107" s="3" t="s">
        <v>264</v>
      </c>
      <c r="D107" s="4"/>
      <c r="E107" s="4"/>
      <c r="F107" s="4"/>
      <c r="G107" s="3" t="s">
        <v>242</v>
      </c>
      <c r="H107" s="8">
        <v>1</v>
      </c>
      <c r="I107" s="3"/>
      <c r="J107" s="3"/>
      <c r="K107" s="8" t="s">
        <v>199</v>
      </c>
      <c r="L107" s="8" t="s">
        <v>200</v>
      </c>
    </row>
    <row r="108" spans="1:12">
      <c r="A108" s="3" t="str">
        <f t="shared" si="7"/>
        <v>United States-gov</v>
      </c>
      <c r="B108" s="3" t="s">
        <v>21</v>
      </c>
      <c r="C108" s="3" t="s">
        <v>264</v>
      </c>
      <c r="D108" s="4"/>
      <c r="E108" s="4"/>
      <c r="F108" s="4"/>
      <c r="G108" s="3" t="s">
        <v>85</v>
      </c>
      <c r="H108" s="8">
        <v>1</v>
      </c>
      <c r="I108" s="3"/>
      <c r="J108" s="3"/>
      <c r="K108" s="8" t="s">
        <v>199</v>
      </c>
      <c r="L108" s="8" t="s">
        <v>200</v>
      </c>
    </row>
    <row r="109" spans="1:12">
      <c r="A109" s="3" t="str">
        <f t="shared" si="7"/>
        <v>United States-gov</v>
      </c>
      <c r="B109" s="3" t="s">
        <v>21</v>
      </c>
      <c r="C109" s="3" t="s">
        <v>264</v>
      </c>
      <c r="D109" s="4"/>
      <c r="E109" s="4"/>
      <c r="F109" s="4"/>
      <c r="G109" s="3" t="s">
        <v>243</v>
      </c>
      <c r="H109" s="8">
        <v>1</v>
      </c>
      <c r="I109" s="3"/>
      <c r="J109" s="3"/>
      <c r="K109" s="8" t="s">
        <v>199</v>
      </c>
      <c r="L109" s="8" t="s">
        <v>200</v>
      </c>
    </row>
    <row r="110" spans="1:12">
      <c r="A110" s="3" t="str">
        <f t="shared" si="7"/>
        <v>United States-gov</v>
      </c>
      <c r="B110" s="3" t="s">
        <v>21</v>
      </c>
      <c r="C110" s="3" t="s">
        <v>264</v>
      </c>
      <c r="D110" s="4"/>
      <c r="E110" s="4"/>
      <c r="F110" s="4"/>
      <c r="G110" s="3" t="s">
        <v>211</v>
      </c>
      <c r="H110" s="8">
        <v>1</v>
      </c>
      <c r="I110" s="3"/>
      <c r="J110" s="3"/>
      <c r="K110" s="8" t="s">
        <v>199</v>
      </c>
      <c r="L110" s="8" t="s">
        <v>200</v>
      </c>
    </row>
    <row r="111" spans="1:12">
      <c r="A111" s="3" t="str">
        <f t="shared" si="7"/>
        <v>United States-gov</v>
      </c>
      <c r="B111" s="3" t="s">
        <v>21</v>
      </c>
      <c r="C111" s="3" t="s">
        <v>264</v>
      </c>
      <c r="D111" s="4"/>
      <c r="E111" s="4"/>
      <c r="F111" s="4"/>
      <c r="G111" s="3" t="s">
        <v>58</v>
      </c>
      <c r="H111" s="3">
        <v>1</v>
      </c>
      <c r="I111" s="3"/>
      <c r="J111" s="3"/>
      <c r="K111" s="3" t="s">
        <v>24</v>
      </c>
      <c r="L111" s="3" t="s">
        <v>25</v>
      </c>
    </row>
    <row r="112" spans="1:12">
      <c r="A112" s="3" t="str">
        <f t="shared" si="7"/>
        <v>United States-gov</v>
      </c>
      <c r="B112" s="3" t="s">
        <v>21</v>
      </c>
      <c r="C112" s="3" t="s">
        <v>264</v>
      </c>
      <c r="D112" s="4"/>
      <c r="E112" s="4"/>
      <c r="F112" s="4"/>
      <c r="G112" s="3" t="s">
        <v>23</v>
      </c>
      <c r="H112" s="3">
        <v>1</v>
      </c>
      <c r="I112" s="3"/>
      <c r="J112" s="3"/>
      <c r="K112" s="3" t="s">
        <v>24</v>
      </c>
      <c r="L112" s="3" t="s">
        <v>25</v>
      </c>
    </row>
  </sheetData>
  <autoFilter xmlns:etc="http://www.wps.cn/officeDocument/2017/etCustomData" ref="A1:L112" etc:filterBottomFollowUsedRange="0">
    <extLst/>
  </autoFilter>
  <mergeCells count="3">
    <mergeCell ref="H3:L78"/>
    <mergeCell ref="A79:L81"/>
    <mergeCell ref="D82:F112"/>
  </mergeCells>
  <dataValidations count="6">
    <dataValidation allowBlank="1" showInputMessage="1" showErrorMessage="1" promptTitle="注意，此处是初步标签" prompt="注意，此处是初步标签" sqref="F1 G12 G26 G34 F43:G43 G54 F65:G65 G67 F3:F14 F16:F25 F27:F42 F44:F64 F66:F67 F79:F101 F106:F136 F250:F1048576"/>
    <dataValidation allowBlank="1" showInputMessage="1" showErrorMessage="1" promptTitle="注意，这个是研判后标签" prompt="注意，这个是研判后标签" sqref="G1 G66 G72 G3:G11 G13:G25 G27:G33 G35:G42 G44:G53 G55:G64 G113:G136 G250:G1048576"/>
    <dataValidation type="list" allowBlank="1" showInputMessage="1" showErrorMessage="1" sqref="K100 H113:H136 H202:H245 L3:L112 L246:L1048576">
      <formula1>"1(4/4),0.75(3/4),0.6(2/4+votepass),0.4(2/4+votedenied),0.25(1/4)"</formula1>
    </dataValidation>
    <dataValidation type="list" allowBlank="1" showInputMessage="1" showErrorMessage="1" sqref="B3:B1048576">
      <formula1>"user,worker,tech,gov"</formula1>
    </dataValidation>
    <dataValidation type="list" allowBlank="1" showInputMessage="1" showErrorMessage="1" sqref="C3:C1048576">
      <formula1>"P.R. China,United States,European Union,Kenya"</formula1>
    </dataValidation>
    <dataValidation type="list" allowBlank="1" showInputMessage="1" showErrorMessage="1" sqref="D3:D78 D102:D1048576">
      <formula1>"DeepSeek Reasoner V3.2,OpenAI ChatGPT 5.4 Pro,Google Gemini 3.1 Pro Preview,Doubao Seed 2.0 Pro"</formula1>
    </dataValidation>
  </dataValidations>
  <pageMargins left="0.75" right="0.75" top="1" bottom="1" header="0.5" footer="0.5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0"/>
  <sheetViews>
    <sheetView zoomScale="85" zoomScaleNormal="85" workbookViewId="0">
      <pane ySplit="2" topLeftCell="A3" activePane="bottomLeft" state="frozen"/>
      <selection/>
      <selection pane="bottomLeft" activeCell="G30" sqref="G30"/>
    </sheetView>
  </sheetViews>
  <sheetFormatPr defaultColWidth="8.61261261261261" defaultRowHeight="14.1"/>
  <cols>
    <col min="1" max="1" width="20.7117117117117" customWidth="1"/>
    <col min="2" max="2" width="11.7027027027027" customWidth="1"/>
    <col min="3" max="3" width="19.5495495495495" customWidth="1"/>
    <col min="4" max="4" width="25.1621621621622" customWidth="1"/>
    <col min="5" max="5" width="12.8558558558559" customWidth="1"/>
    <col min="6" max="6" width="24.7297297297297" customWidth="1"/>
    <col min="7" max="7" width="34.0810810810811" customWidth="1"/>
    <col min="8" max="8" width="11.7027027027027" customWidth="1"/>
    <col min="9" max="9" width="13.9369369369369" customWidth="1"/>
    <col min="10" max="10" width="11.7027027027027" customWidth="1"/>
    <col min="11" max="11" width="20.7117117117117" customWidth="1"/>
    <col min="12" max="12" width="17.3243243243243" customWidth="1"/>
  </cols>
  <sheetData>
    <row r="1" spans="1:12">
      <c r="A1" t="s">
        <v>6</v>
      </c>
      <c r="B1" t="s">
        <v>266</v>
      </c>
      <c r="C1" t="s">
        <v>267</v>
      </c>
      <c r="D1" t="s">
        <v>268</v>
      </c>
      <c r="E1" t="s">
        <v>269</v>
      </c>
      <c r="F1" t="s">
        <v>270</v>
      </c>
      <c r="G1" t="s">
        <v>271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  <row r="2" spans="1:12">
      <c r="A2" t="s">
        <v>272</v>
      </c>
      <c r="B2" t="s">
        <v>272</v>
      </c>
      <c r="C2" t="s">
        <v>272</v>
      </c>
      <c r="D2" t="s">
        <v>272</v>
      </c>
      <c r="E2" t="str">
        <f t="shared" ref="E2:E65" si="0">IF(OR(D2="Doubao Seed 2.0 Pro",D2="DeepSeek Reasoner V3.2"),"China","US")</f>
        <v>US</v>
      </c>
      <c r="F2" t="s">
        <v>272</v>
      </c>
      <c r="G2" t="s">
        <v>272</v>
      </c>
      <c r="H2" t="s">
        <v>272</v>
      </c>
      <c r="I2">
        <f ca="1">RANDBETWEEN(10000,99999)</f>
        <v>28188</v>
      </c>
      <c r="J2" t="str">
        <f ca="1">IF(MOD(I2,2)=0,"China-backup","US-backup")</f>
        <v>China-backup</v>
      </c>
      <c r="K2" t="s">
        <v>272</v>
      </c>
      <c r="L2" t="s">
        <v>272</v>
      </c>
    </row>
    <row r="3" spans="1:12">
      <c r="A3" s="3" t="str">
        <f t="shared" ref="A3:A66" si="1">C3&amp;"-"&amp;B3</f>
        <v>United States-tech</v>
      </c>
      <c r="B3" s="3" t="s">
        <v>61</v>
      </c>
      <c r="C3" s="3" t="s">
        <v>264</v>
      </c>
      <c r="D3" s="3" t="s">
        <v>273</v>
      </c>
      <c r="E3" s="3" t="str">
        <f t="shared" si="0"/>
        <v>China</v>
      </c>
      <c r="F3" s="3" t="s">
        <v>398</v>
      </c>
      <c r="G3" s="3" t="s">
        <v>94</v>
      </c>
      <c r="H3" s="4" t="s">
        <v>197</v>
      </c>
      <c r="I3" s="4"/>
      <c r="J3" s="4"/>
      <c r="K3" s="4"/>
      <c r="L3" s="4"/>
    </row>
    <row r="4" ht="11" customHeight="1" spans="1:12">
      <c r="A4" s="3" t="str">
        <f t="shared" si="1"/>
        <v>United States-tech</v>
      </c>
      <c r="B4" s="3" t="s">
        <v>61</v>
      </c>
      <c r="C4" s="3" t="s">
        <v>264</v>
      </c>
      <c r="D4" s="3" t="s">
        <v>273</v>
      </c>
      <c r="E4" s="3" t="str">
        <f t="shared" si="0"/>
        <v>China</v>
      </c>
      <c r="F4" s="3" t="s">
        <v>325</v>
      </c>
      <c r="G4" s="3" t="s">
        <v>122</v>
      </c>
      <c r="H4" s="4"/>
      <c r="I4" s="4"/>
      <c r="J4" s="4"/>
      <c r="K4" s="4"/>
      <c r="L4" s="4"/>
    </row>
    <row r="5" spans="1:12">
      <c r="A5" s="3" t="str">
        <f t="shared" si="1"/>
        <v>United States-tech</v>
      </c>
      <c r="B5" s="3" t="s">
        <v>61</v>
      </c>
      <c r="C5" s="3" t="s">
        <v>264</v>
      </c>
      <c r="D5" s="3" t="s">
        <v>273</v>
      </c>
      <c r="E5" s="3" t="str">
        <f t="shared" si="0"/>
        <v>China</v>
      </c>
      <c r="F5" s="3" t="s">
        <v>383</v>
      </c>
      <c r="G5" s="3" t="s">
        <v>113</v>
      </c>
      <c r="H5" s="4"/>
      <c r="I5" s="4"/>
      <c r="J5" s="4"/>
      <c r="K5" s="4"/>
      <c r="L5" s="4"/>
    </row>
    <row r="6" spans="1:12">
      <c r="A6" s="3" t="str">
        <f t="shared" si="1"/>
        <v>United States-tech</v>
      </c>
      <c r="B6" s="3" t="s">
        <v>61</v>
      </c>
      <c r="C6" s="3" t="s">
        <v>264</v>
      </c>
      <c r="D6" s="3" t="s">
        <v>273</v>
      </c>
      <c r="E6" s="3" t="str">
        <f t="shared" si="0"/>
        <v>China</v>
      </c>
      <c r="F6" s="3" t="s">
        <v>471</v>
      </c>
      <c r="G6" s="3" t="s">
        <v>106</v>
      </c>
      <c r="H6" s="4"/>
      <c r="I6" s="4"/>
      <c r="J6" s="4"/>
      <c r="K6" s="4"/>
      <c r="L6" s="4"/>
    </row>
    <row r="7" spans="1:12">
      <c r="A7" s="3" t="str">
        <f t="shared" si="1"/>
        <v>United States-tech</v>
      </c>
      <c r="B7" s="3" t="s">
        <v>61</v>
      </c>
      <c r="C7" s="3" t="s">
        <v>264</v>
      </c>
      <c r="D7" s="3" t="s">
        <v>273</v>
      </c>
      <c r="E7" s="3" t="str">
        <f t="shared" si="0"/>
        <v>China</v>
      </c>
      <c r="F7" s="3" t="s">
        <v>472</v>
      </c>
      <c r="G7" s="3" t="s">
        <v>223</v>
      </c>
      <c r="H7" s="4"/>
      <c r="I7" s="4"/>
      <c r="J7" s="4"/>
      <c r="K7" s="4"/>
      <c r="L7" s="4"/>
    </row>
    <row r="8" spans="1:12">
      <c r="A8" s="3" t="str">
        <f t="shared" si="1"/>
        <v>United States-tech</v>
      </c>
      <c r="B8" s="3" t="s">
        <v>61</v>
      </c>
      <c r="C8" s="3" t="s">
        <v>264</v>
      </c>
      <c r="D8" s="3" t="s">
        <v>273</v>
      </c>
      <c r="E8" s="3" t="str">
        <f t="shared" si="0"/>
        <v>China</v>
      </c>
      <c r="F8" s="3" t="s">
        <v>278</v>
      </c>
      <c r="G8" s="3" t="s">
        <v>80</v>
      </c>
      <c r="H8" s="4"/>
      <c r="I8" s="4"/>
      <c r="J8" s="4"/>
      <c r="K8" s="4"/>
      <c r="L8" s="4"/>
    </row>
    <row r="9" spans="1:12">
      <c r="A9" s="3" t="str">
        <f t="shared" si="1"/>
        <v>United States-tech</v>
      </c>
      <c r="B9" s="3" t="s">
        <v>61</v>
      </c>
      <c r="C9" s="3" t="s">
        <v>264</v>
      </c>
      <c r="D9" s="3" t="s">
        <v>273</v>
      </c>
      <c r="E9" s="3" t="str">
        <f t="shared" si="0"/>
        <v>China</v>
      </c>
      <c r="F9" s="3" t="s">
        <v>280</v>
      </c>
      <c r="G9" s="3" t="s">
        <v>100</v>
      </c>
      <c r="H9" s="4"/>
      <c r="I9" s="4"/>
      <c r="J9" s="4"/>
      <c r="K9" s="4"/>
      <c r="L9" s="4"/>
    </row>
    <row r="10" spans="1:12">
      <c r="A10" s="3" t="str">
        <f t="shared" si="1"/>
        <v>United States-tech</v>
      </c>
      <c r="B10" s="3" t="s">
        <v>61</v>
      </c>
      <c r="C10" s="3" t="s">
        <v>264</v>
      </c>
      <c r="D10" s="3" t="s">
        <v>273</v>
      </c>
      <c r="E10" s="3" t="str">
        <f t="shared" si="0"/>
        <v>China</v>
      </c>
      <c r="F10" s="3" t="s">
        <v>346</v>
      </c>
      <c r="G10" s="3" t="s">
        <v>100</v>
      </c>
      <c r="H10" s="4"/>
      <c r="I10" s="4"/>
      <c r="J10" s="4"/>
      <c r="K10" s="4"/>
      <c r="L10" s="4"/>
    </row>
    <row r="11" spans="1:12">
      <c r="A11" s="3" t="str">
        <f t="shared" si="1"/>
        <v>United States-tech</v>
      </c>
      <c r="B11" s="3" t="s">
        <v>61</v>
      </c>
      <c r="C11" s="3" t="s">
        <v>264</v>
      </c>
      <c r="D11" s="3" t="s">
        <v>273</v>
      </c>
      <c r="E11" s="3" t="str">
        <f t="shared" si="0"/>
        <v>China</v>
      </c>
      <c r="F11" s="3" t="s">
        <v>351</v>
      </c>
      <c r="G11" s="3" t="s">
        <v>108</v>
      </c>
      <c r="H11" s="4"/>
      <c r="I11" s="4"/>
      <c r="J11" s="4"/>
      <c r="K11" s="4"/>
      <c r="L11" s="4"/>
    </row>
    <row r="12" spans="1:12">
      <c r="A12" s="3" t="str">
        <f t="shared" si="1"/>
        <v>United States-tech</v>
      </c>
      <c r="B12" s="3" t="s">
        <v>61</v>
      </c>
      <c r="C12" s="3" t="s">
        <v>264</v>
      </c>
      <c r="D12" s="3" t="s">
        <v>273</v>
      </c>
      <c r="E12" s="3" t="str">
        <f t="shared" si="0"/>
        <v>China</v>
      </c>
      <c r="F12" s="3" t="s">
        <v>295</v>
      </c>
      <c r="G12" s="3" t="s">
        <v>118</v>
      </c>
      <c r="H12" s="4"/>
      <c r="I12" s="4"/>
      <c r="J12" s="4"/>
      <c r="K12" s="4"/>
      <c r="L12" s="4"/>
    </row>
    <row r="13" spans="1:12">
      <c r="A13" s="3" t="str">
        <f t="shared" si="1"/>
        <v>United States-tech</v>
      </c>
      <c r="B13" s="3" t="s">
        <v>61</v>
      </c>
      <c r="C13" s="3" t="s">
        <v>264</v>
      </c>
      <c r="D13" s="3" t="s">
        <v>273</v>
      </c>
      <c r="E13" s="3" t="str">
        <f t="shared" si="0"/>
        <v>China</v>
      </c>
      <c r="F13" s="3" t="s">
        <v>473</v>
      </c>
      <c r="G13" s="3" t="s">
        <v>105</v>
      </c>
      <c r="H13" s="4"/>
      <c r="I13" s="4"/>
      <c r="J13" s="4"/>
      <c r="K13" s="4"/>
      <c r="L13" s="4"/>
    </row>
    <row r="14" spans="1:12">
      <c r="A14" s="3" t="str">
        <f t="shared" si="1"/>
        <v>United States-tech</v>
      </c>
      <c r="B14" s="3" t="s">
        <v>61</v>
      </c>
      <c r="C14" s="3" t="s">
        <v>264</v>
      </c>
      <c r="D14" s="3" t="s">
        <v>297</v>
      </c>
      <c r="E14" s="3" t="str">
        <f t="shared" si="0"/>
        <v>China</v>
      </c>
      <c r="F14" s="3" t="s">
        <v>398</v>
      </c>
      <c r="G14" s="3" t="s">
        <v>94</v>
      </c>
      <c r="H14" s="4"/>
      <c r="I14" s="4"/>
      <c r="J14" s="4"/>
      <c r="K14" s="4"/>
      <c r="L14" s="4"/>
    </row>
    <row r="15" spans="1:12">
      <c r="A15" s="3" t="str">
        <f t="shared" si="1"/>
        <v>United States-tech</v>
      </c>
      <c r="B15" s="3" t="s">
        <v>61</v>
      </c>
      <c r="C15" s="3" t="s">
        <v>264</v>
      </c>
      <c r="D15" s="3" t="s">
        <v>297</v>
      </c>
      <c r="E15" s="3" t="str">
        <f t="shared" si="0"/>
        <v>China</v>
      </c>
      <c r="F15" s="3" t="s">
        <v>392</v>
      </c>
      <c r="G15" s="3" t="s">
        <v>113</v>
      </c>
      <c r="H15" s="4"/>
      <c r="I15" s="4"/>
      <c r="J15" s="4"/>
      <c r="K15" s="4"/>
      <c r="L15" s="4"/>
    </row>
    <row r="16" spans="1:12">
      <c r="A16" s="3" t="str">
        <f t="shared" si="1"/>
        <v>United States-tech</v>
      </c>
      <c r="B16" s="3" t="s">
        <v>61</v>
      </c>
      <c r="C16" s="3" t="s">
        <v>264</v>
      </c>
      <c r="D16" s="3" t="s">
        <v>297</v>
      </c>
      <c r="E16" s="3" t="str">
        <f t="shared" si="0"/>
        <v>China</v>
      </c>
      <c r="F16" s="3" t="s">
        <v>361</v>
      </c>
      <c r="G16" s="3" t="s">
        <v>113</v>
      </c>
      <c r="H16" s="4"/>
      <c r="I16" s="4"/>
      <c r="J16" s="4"/>
      <c r="K16" s="4"/>
      <c r="L16" s="4"/>
    </row>
    <row r="17" spans="1:12">
      <c r="A17" s="3" t="str">
        <f t="shared" si="1"/>
        <v>United States-tech</v>
      </c>
      <c r="B17" s="3" t="s">
        <v>61</v>
      </c>
      <c r="C17" s="3" t="s">
        <v>264</v>
      </c>
      <c r="D17" s="3" t="s">
        <v>297</v>
      </c>
      <c r="E17" s="3" t="str">
        <f t="shared" si="0"/>
        <v>China</v>
      </c>
      <c r="F17" s="3" t="s">
        <v>352</v>
      </c>
      <c r="G17" s="3" t="s">
        <v>100</v>
      </c>
      <c r="H17" s="4"/>
      <c r="I17" s="4"/>
      <c r="J17" s="4"/>
      <c r="K17" s="4"/>
      <c r="L17" s="4"/>
    </row>
    <row r="18" spans="1:12">
      <c r="A18" s="3" t="str">
        <f t="shared" si="1"/>
        <v>United States-tech</v>
      </c>
      <c r="B18" s="3" t="s">
        <v>61</v>
      </c>
      <c r="C18" s="3" t="s">
        <v>264</v>
      </c>
      <c r="D18" s="3" t="s">
        <v>297</v>
      </c>
      <c r="E18" s="3" t="str">
        <f t="shared" si="0"/>
        <v>China</v>
      </c>
      <c r="F18" s="3" t="s">
        <v>372</v>
      </c>
      <c r="G18" s="3" t="s">
        <v>131</v>
      </c>
      <c r="H18" s="4"/>
      <c r="I18" s="4"/>
      <c r="J18" s="4"/>
      <c r="K18" s="4"/>
      <c r="L18" s="4"/>
    </row>
    <row r="19" spans="1:12">
      <c r="A19" s="3" t="str">
        <f t="shared" si="1"/>
        <v>United States-tech</v>
      </c>
      <c r="B19" s="3" t="s">
        <v>61</v>
      </c>
      <c r="C19" s="3" t="s">
        <v>264</v>
      </c>
      <c r="D19" s="3" t="s">
        <v>297</v>
      </c>
      <c r="E19" s="3" t="str">
        <f t="shared" si="0"/>
        <v>China</v>
      </c>
      <c r="F19" s="3" t="s">
        <v>325</v>
      </c>
      <c r="G19" s="3" t="s">
        <v>122</v>
      </c>
      <c r="H19" s="4"/>
      <c r="I19" s="4"/>
      <c r="J19" s="4"/>
      <c r="K19" s="4"/>
      <c r="L19" s="4"/>
    </row>
    <row r="20" spans="1:12">
      <c r="A20" s="3" t="str">
        <f t="shared" si="1"/>
        <v>United States-tech</v>
      </c>
      <c r="B20" s="3" t="s">
        <v>61</v>
      </c>
      <c r="C20" s="3" t="s">
        <v>264</v>
      </c>
      <c r="D20" s="3" t="s">
        <v>297</v>
      </c>
      <c r="E20" s="3" t="str">
        <f t="shared" si="0"/>
        <v>China</v>
      </c>
      <c r="F20" s="3" t="s">
        <v>376</v>
      </c>
      <c r="G20" s="3" t="s">
        <v>121</v>
      </c>
      <c r="H20" s="4"/>
      <c r="I20" s="4"/>
      <c r="J20" s="4"/>
      <c r="K20" s="4"/>
      <c r="L20" s="4"/>
    </row>
    <row r="21" spans="1:12">
      <c r="A21" s="3" t="str">
        <f t="shared" si="1"/>
        <v>United States-tech</v>
      </c>
      <c r="B21" s="3" t="s">
        <v>61</v>
      </c>
      <c r="C21" s="3" t="s">
        <v>264</v>
      </c>
      <c r="D21" s="3" t="s">
        <v>297</v>
      </c>
      <c r="E21" s="3" t="str">
        <f t="shared" si="0"/>
        <v>China</v>
      </c>
      <c r="F21" s="3" t="s">
        <v>357</v>
      </c>
      <c r="G21" s="3" t="s">
        <v>100</v>
      </c>
      <c r="H21" s="4"/>
      <c r="I21" s="4"/>
      <c r="J21" s="4"/>
      <c r="K21" s="4"/>
      <c r="L21" s="4"/>
    </row>
    <row r="22" spans="1:12">
      <c r="A22" s="3" t="str">
        <f t="shared" si="1"/>
        <v>United States-tech</v>
      </c>
      <c r="B22" s="3" t="s">
        <v>61</v>
      </c>
      <c r="C22" s="3" t="s">
        <v>264</v>
      </c>
      <c r="D22" s="3" t="s">
        <v>297</v>
      </c>
      <c r="E22" s="3" t="str">
        <f t="shared" si="0"/>
        <v>China</v>
      </c>
      <c r="F22" s="3" t="s">
        <v>474</v>
      </c>
      <c r="G22" s="3" t="s">
        <v>100</v>
      </c>
      <c r="H22" s="4"/>
      <c r="I22" s="4"/>
      <c r="J22" s="4"/>
      <c r="K22" s="4"/>
      <c r="L22" s="4"/>
    </row>
    <row r="23" spans="1:12">
      <c r="A23" s="3" t="str">
        <f t="shared" si="1"/>
        <v>United States-tech</v>
      </c>
      <c r="B23" s="3" t="s">
        <v>61</v>
      </c>
      <c r="C23" s="3" t="s">
        <v>264</v>
      </c>
      <c r="D23" s="3" t="s">
        <v>314</v>
      </c>
      <c r="E23" s="3" t="str">
        <f t="shared" si="0"/>
        <v>US</v>
      </c>
      <c r="F23" s="3" t="s">
        <v>474</v>
      </c>
      <c r="G23" s="3" t="s">
        <v>100</v>
      </c>
      <c r="H23" s="4"/>
      <c r="I23" s="4"/>
      <c r="J23" s="4"/>
      <c r="K23" s="4"/>
      <c r="L23" s="4"/>
    </row>
    <row r="24" spans="1:12">
      <c r="A24" s="3" t="str">
        <f t="shared" si="1"/>
        <v>United States-tech</v>
      </c>
      <c r="B24" s="3" t="s">
        <v>61</v>
      </c>
      <c r="C24" s="3" t="s">
        <v>264</v>
      </c>
      <c r="D24" s="3" t="s">
        <v>314</v>
      </c>
      <c r="E24" s="3" t="str">
        <f t="shared" si="0"/>
        <v>US</v>
      </c>
      <c r="F24" s="3" t="s">
        <v>475</v>
      </c>
      <c r="G24" s="3" t="s">
        <v>130</v>
      </c>
      <c r="H24" s="4"/>
      <c r="I24" s="4"/>
      <c r="J24" s="4"/>
      <c r="K24" s="4"/>
      <c r="L24" s="4"/>
    </row>
    <row r="25" spans="1:12">
      <c r="A25" s="3" t="str">
        <f t="shared" si="1"/>
        <v>United States-tech</v>
      </c>
      <c r="B25" s="3" t="s">
        <v>61</v>
      </c>
      <c r="C25" s="3" t="s">
        <v>264</v>
      </c>
      <c r="D25" s="3" t="s">
        <v>314</v>
      </c>
      <c r="E25" s="3" t="str">
        <f t="shared" si="0"/>
        <v>US</v>
      </c>
      <c r="F25" s="3" t="s">
        <v>325</v>
      </c>
      <c r="G25" s="3" t="s">
        <v>122</v>
      </c>
      <c r="H25" s="4"/>
      <c r="I25" s="4"/>
      <c r="J25" s="4"/>
      <c r="K25" s="4"/>
      <c r="L25" s="4"/>
    </row>
    <row r="26" spans="1:12">
      <c r="A26" s="3" t="str">
        <f t="shared" si="1"/>
        <v>United States-tech</v>
      </c>
      <c r="B26" s="3" t="s">
        <v>61</v>
      </c>
      <c r="C26" s="3" t="s">
        <v>264</v>
      </c>
      <c r="D26" s="3" t="s">
        <v>314</v>
      </c>
      <c r="E26" s="3" t="str">
        <f t="shared" si="0"/>
        <v>US</v>
      </c>
      <c r="F26" s="3" t="s">
        <v>464</v>
      </c>
      <c r="G26" s="3" t="s">
        <v>23</v>
      </c>
      <c r="H26" s="4"/>
      <c r="I26" s="4"/>
      <c r="J26" s="4"/>
      <c r="K26" s="4"/>
      <c r="L26" s="4"/>
    </row>
    <row r="27" spans="1:12">
      <c r="A27" s="3" t="str">
        <f t="shared" si="1"/>
        <v>United States-tech</v>
      </c>
      <c r="B27" s="3" t="s">
        <v>61</v>
      </c>
      <c r="C27" s="3" t="s">
        <v>264</v>
      </c>
      <c r="D27" s="3" t="s">
        <v>314</v>
      </c>
      <c r="E27" s="3" t="str">
        <f t="shared" si="0"/>
        <v>US</v>
      </c>
      <c r="F27" s="3" t="s">
        <v>392</v>
      </c>
      <c r="G27" s="3" t="s">
        <v>113</v>
      </c>
      <c r="H27" s="4"/>
      <c r="I27" s="4"/>
      <c r="J27" s="4"/>
      <c r="K27" s="4"/>
      <c r="L27" s="4"/>
    </row>
    <row r="28" spans="1:12">
      <c r="A28" s="3" t="str">
        <f t="shared" si="1"/>
        <v>United States-tech</v>
      </c>
      <c r="B28" s="3" t="s">
        <v>61</v>
      </c>
      <c r="C28" s="3" t="s">
        <v>264</v>
      </c>
      <c r="D28" s="3" t="s">
        <v>314</v>
      </c>
      <c r="E28" s="3" t="str">
        <f t="shared" si="0"/>
        <v>US</v>
      </c>
      <c r="F28" s="3" t="s">
        <v>476</v>
      </c>
      <c r="G28" s="3" t="s">
        <v>130</v>
      </c>
      <c r="H28" s="4"/>
      <c r="I28" s="4"/>
      <c r="J28" s="4"/>
      <c r="K28" s="4"/>
      <c r="L28" s="4"/>
    </row>
    <row r="29" spans="1:12">
      <c r="A29" s="3" t="str">
        <f t="shared" si="1"/>
        <v>United States-tech</v>
      </c>
      <c r="B29" s="3" t="s">
        <v>61</v>
      </c>
      <c r="C29" s="3" t="s">
        <v>264</v>
      </c>
      <c r="D29" s="3" t="s">
        <v>314</v>
      </c>
      <c r="E29" s="3" t="str">
        <f t="shared" si="0"/>
        <v>US</v>
      </c>
      <c r="F29" s="3" t="s">
        <v>477</v>
      </c>
      <c r="G29" s="3" t="s">
        <v>71</v>
      </c>
      <c r="H29" s="4"/>
      <c r="I29" s="4"/>
      <c r="J29" s="4"/>
      <c r="K29" s="4"/>
      <c r="L29" s="4"/>
    </row>
    <row r="30" spans="1:12">
      <c r="A30" s="3" t="str">
        <f t="shared" si="1"/>
        <v>United States-tech</v>
      </c>
      <c r="B30" s="3" t="s">
        <v>61</v>
      </c>
      <c r="C30" s="3" t="s">
        <v>264</v>
      </c>
      <c r="D30" s="3" t="s">
        <v>314</v>
      </c>
      <c r="E30" s="3" t="str">
        <f t="shared" si="0"/>
        <v>US</v>
      </c>
      <c r="F30" s="3" t="s">
        <v>478</v>
      </c>
      <c r="G30" s="3" t="s">
        <v>244</v>
      </c>
      <c r="H30" s="4"/>
      <c r="I30" s="4"/>
      <c r="J30" s="4"/>
      <c r="K30" s="4"/>
      <c r="L30" s="4"/>
    </row>
    <row r="31" spans="1:12">
      <c r="A31" s="3" t="str">
        <f t="shared" si="1"/>
        <v>United States-tech</v>
      </c>
      <c r="B31" s="3" t="s">
        <v>61</v>
      </c>
      <c r="C31" s="3" t="s">
        <v>264</v>
      </c>
      <c r="D31" s="3" t="s">
        <v>314</v>
      </c>
      <c r="E31" s="3" t="str">
        <f t="shared" si="0"/>
        <v>US</v>
      </c>
      <c r="F31" s="3" t="s">
        <v>459</v>
      </c>
      <c r="G31" s="3" t="s">
        <v>126</v>
      </c>
      <c r="H31" s="4"/>
      <c r="I31" s="4"/>
      <c r="J31" s="4"/>
      <c r="K31" s="4"/>
      <c r="L31" s="4"/>
    </row>
    <row r="32" spans="1:12">
      <c r="A32" s="3" t="str">
        <f t="shared" si="1"/>
        <v>United States-tech</v>
      </c>
      <c r="B32" s="3" t="s">
        <v>61</v>
      </c>
      <c r="C32" s="3" t="s">
        <v>264</v>
      </c>
      <c r="D32" s="3" t="s">
        <v>314</v>
      </c>
      <c r="E32" s="3" t="str">
        <f t="shared" si="0"/>
        <v>US</v>
      </c>
      <c r="F32" s="3" t="s">
        <v>400</v>
      </c>
      <c r="G32" s="3" t="s">
        <v>95</v>
      </c>
      <c r="H32" s="4"/>
      <c r="I32" s="4"/>
      <c r="J32" s="4"/>
      <c r="K32" s="4"/>
      <c r="L32" s="4"/>
    </row>
    <row r="33" spans="1:12">
      <c r="A33" s="3" t="str">
        <f t="shared" si="1"/>
        <v>United States-tech</v>
      </c>
      <c r="B33" s="3" t="s">
        <v>61</v>
      </c>
      <c r="C33" s="3" t="s">
        <v>264</v>
      </c>
      <c r="D33" s="3" t="s">
        <v>314</v>
      </c>
      <c r="E33" s="3" t="str">
        <f t="shared" si="0"/>
        <v>US</v>
      </c>
      <c r="F33" s="3" t="s">
        <v>372</v>
      </c>
      <c r="G33" s="3" t="s">
        <v>131</v>
      </c>
      <c r="H33" s="4"/>
      <c r="I33" s="4"/>
      <c r="J33" s="4"/>
      <c r="K33" s="4"/>
      <c r="L33" s="4"/>
    </row>
    <row r="34" spans="1:12">
      <c r="A34" s="3" t="str">
        <f t="shared" si="1"/>
        <v>United States-tech</v>
      </c>
      <c r="B34" s="3" t="s">
        <v>61</v>
      </c>
      <c r="C34" s="3" t="s">
        <v>264</v>
      </c>
      <c r="D34" s="3" t="s">
        <v>314</v>
      </c>
      <c r="E34" s="3" t="str">
        <f t="shared" si="0"/>
        <v>US</v>
      </c>
      <c r="F34" s="3" t="s">
        <v>413</v>
      </c>
      <c r="G34" s="3" t="s">
        <v>224</v>
      </c>
      <c r="H34" s="4"/>
      <c r="I34" s="4"/>
      <c r="J34" s="4"/>
      <c r="K34" s="4"/>
      <c r="L34" s="4"/>
    </row>
    <row r="35" spans="1:12">
      <c r="A35" s="3" t="str">
        <f t="shared" si="1"/>
        <v>United States-tech</v>
      </c>
      <c r="B35" s="3" t="s">
        <v>61</v>
      </c>
      <c r="C35" s="3" t="s">
        <v>264</v>
      </c>
      <c r="D35" s="3" t="s">
        <v>314</v>
      </c>
      <c r="E35" s="3" t="str">
        <f t="shared" si="0"/>
        <v>US</v>
      </c>
      <c r="F35" s="3" t="s">
        <v>398</v>
      </c>
      <c r="G35" s="3" t="s">
        <v>94</v>
      </c>
      <c r="H35" s="4"/>
      <c r="I35" s="4"/>
      <c r="J35" s="4"/>
      <c r="K35" s="4"/>
      <c r="L35" s="4"/>
    </row>
    <row r="36" spans="1:12">
      <c r="A36" s="3" t="str">
        <f t="shared" si="1"/>
        <v>United States-tech</v>
      </c>
      <c r="B36" s="3" t="s">
        <v>61</v>
      </c>
      <c r="C36" s="3" t="s">
        <v>264</v>
      </c>
      <c r="D36" s="3" t="s">
        <v>314</v>
      </c>
      <c r="E36" s="3" t="str">
        <f t="shared" si="0"/>
        <v>US</v>
      </c>
      <c r="F36" s="3" t="s">
        <v>390</v>
      </c>
      <c r="G36" s="3" t="s">
        <v>124</v>
      </c>
      <c r="H36" s="4"/>
      <c r="I36" s="4"/>
      <c r="J36" s="4"/>
      <c r="K36" s="4"/>
      <c r="L36" s="4"/>
    </row>
    <row r="37" spans="1:12">
      <c r="A37" s="3" t="str">
        <f t="shared" si="1"/>
        <v>United States-tech</v>
      </c>
      <c r="B37" s="3" t="s">
        <v>61</v>
      </c>
      <c r="C37" s="3" t="s">
        <v>264</v>
      </c>
      <c r="D37" s="3" t="s">
        <v>329</v>
      </c>
      <c r="E37" s="3" t="str">
        <f t="shared" si="0"/>
        <v>US</v>
      </c>
      <c r="F37" s="3" t="s">
        <v>479</v>
      </c>
      <c r="G37" s="3" t="s">
        <v>201</v>
      </c>
      <c r="H37" s="4"/>
      <c r="I37" s="4"/>
      <c r="J37" s="4"/>
      <c r="K37" s="4"/>
      <c r="L37" s="4"/>
    </row>
    <row r="38" spans="1:12">
      <c r="A38" s="3" t="str">
        <f t="shared" si="1"/>
        <v>United States-tech</v>
      </c>
      <c r="B38" s="3" t="s">
        <v>61</v>
      </c>
      <c r="C38" s="3" t="s">
        <v>264</v>
      </c>
      <c r="D38" s="3" t="s">
        <v>329</v>
      </c>
      <c r="E38" s="3" t="str">
        <f t="shared" si="0"/>
        <v>US</v>
      </c>
      <c r="F38" s="3" t="s">
        <v>480</v>
      </c>
      <c r="G38" s="3" t="s">
        <v>224</v>
      </c>
      <c r="H38" s="4"/>
      <c r="I38" s="4"/>
      <c r="J38" s="4"/>
      <c r="K38" s="4"/>
      <c r="L38" s="4"/>
    </row>
    <row r="39" spans="1:12">
      <c r="A39" s="3" t="str">
        <f t="shared" si="1"/>
        <v>United States-tech</v>
      </c>
      <c r="B39" s="3" t="s">
        <v>61</v>
      </c>
      <c r="C39" s="3" t="s">
        <v>264</v>
      </c>
      <c r="D39" s="3" t="s">
        <v>329</v>
      </c>
      <c r="E39" s="3" t="str">
        <f t="shared" si="0"/>
        <v>US</v>
      </c>
      <c r="F39" s="3" t="s">
        <v>285</v>
      </c>
      <c r="G39" s="3" t="s">
        <v>207</v>
      </c>
      <c r="H39" s="4"/>
      <c r="I39" s="4"/>
      <c r="J39" s="4"/>
      <c r="K39" s="4"/>
      <c r="L39" s="4"/>
    </row>
    <row r="40" spans="1:12">
      <c r="A40" s="3" t="str">
        <f t="shared" si="1"/>
        <v>United States-tech</v>
      </c>
      <c r="B40" s="3" t="s">
        <v>61</v>
      </c>
      <c r="C40" s="3" t="s">
        <v>264</v>
      </c>
      <c r="D40" s="3" t="s">
        <v>329</v>
      </c>
      <c r="E40" s="3" t="str">
        <f t="shared" si="0"/>
        <v>US</v>
      </c>
      <c r="F40" s="3" t="s">
        <v>383</v>
      </c>
      <c r="G40" s="3" t="s">
        <v>113</v>
      </c>
      <c r="H40" s="4"/>
      <c r="I40" s="4"/>
      <c r="J40" s="4"/>
      <c r="K40" s="4"/>
      <c r="L40" s="4"/>
    </row>
    <row r="41" spans="1:12">
      <c r="A41" s="3" t="str">
        <f t="shared" si="1"/>
        <v>United States-tech</v>
      </c>
      <c r="B41" s="3" t="s">
        <v>61</v>
      </c>
      <c r="C41" s="3" t="s">
        <v>264</v>
      </c>
      <c r="D41" s="3" t="s">
        <v>329</v>
      </c>
      <c r="E41" s="3" t="str">
        <f t="shared" si="0"/>
        <v>US</v>
      </c>
      <c r="F41" s="3" t="s">
        <v>477</v>
      </c>
      <c r="G41" s="3" t="s">
        <v>71</v>
      </c>
      <c r="H41" s="4"/>
      <c r="I41" s="4"/>
      <c r="J41" s="4"/>
      <c r="K41" s="4"/>
      <c r="L41" s="4"/>
    </row>
    <row r="42" spans="1:12">
      <c r="A42" s="3" t="str">
        <f t="shared" si="1"/>
        <v>United States-tech</v>
      </c>
      <c r="B42" s="3" t="s">
        <v>61</v>
      </c>
      <c r="C42" s="3" t="s">
        <v>264</v>
      </c>
      <c r="D42" s="3" t="s">
        <v>329</v>
      </c>
      <c r="E42" s="3" t="str">
        <f t="shared" si="0"/>
        <v>US</v>
      </c>
      <c r="F42" s="3" t="s">
        <v>325</v>
      </c>
      <c r="G42" s="3" t="s">
        <v>122</v>
      </c>
      <c r="H42" s="4"/>
      <c r="I42" s="4"/>
      <c r="J42" s="4"/>
      <c r="K42" s="4"/>
      <c r="L42" s="4"/>
    </row>
    <row r="43" spans="1:12">
      <c r="A43" s="3" t="str">
        <f t="shared" si="1"/>
        <v>United States-tech</v>
      </c>
      <c r="B43" s="3" t="s">
        <v>61</v>
      </c>
      <c r="C43" s="3" t="s">
        <v>264</v>
      </c>
      <c r="D43" s="3" t="s">
        <v>329</v>
      </c>
      <c r="E43" s="3" t="str">
        <f t="shared" si="0"/>
        <v>US</v>
      </c>
      <c r="F43" s="3" t="s">
        <v>352</v>
      </c>
      <c r="G43" s="3" t="s">
        <v>100</v>
      </c>
      <c r="H43" s="4"/>
      <c r="I43" s="4"/>
      <c r="J43" s="4"/>
      <c r="K43" s="4"/>
      <c r="L43" s="4"/>
    </row>
    <row r="44" spans="1:12">
      <c r="A44" s="3" t="str">
        <f t="shared" si="1"/>
        <v>United States-tech</v>
      </c>
      <c r="B44" s="3" t="s">
        <v>61</v>
      </c>
      <c r="C44" s="3" t="s">
        <v>264</v>
      </c>
      <c r="D44" s="3" t="s">
        <v>329</v>
      </c>
      <c r="E44" s="3" t="str">
        <f t="shared" si="0"/>
        <v>US</v>
      </c>
      <c r="F44" s="3" t="s">
        <v>398</v>
      </c>
      <c r="G44" s="3" t="s">
        <v>94</v>
      </c>
      <c r="H44" s="4"/>
      <c r="I44" s="4"/>
      <c r="J44" s="4"/>
      <c r="K44" s="4"/>
      <c r="L44" s="4"/>
    </row>
    <row r="45" spans="1:12">
      <c r="A45" s="3" t="str">
        <f t="shared" si="1"/>
        <v>United States-tech</v>
      </c>
      <c r="B45" s="3" t="s">
        <v>61</v>
      </c>
      <c r="C45" s="3" t="s">
        <v>264</v>
      </c>
      <c r="D45" s="3" t="s">
        <v>329</v>
      </c>
      <c r="E45" s="3" t="str">
        <f t="shared" si="0"/>
        <v>US</v>
      </c>
      <c r="F45" s="3" t="s">
        <v>298</v>
      </c>
      <c r="G45" s="3" t="s">
        <v>121</v>
      </c>
      <c r="H45" s="4"/>
      <c r="I45" s="4"/>
      <c r="J45" s="4"/>
      <c r="K45" s="4"/>
      <c r="L45" s="4"/>
    </row>
    <row r="46" spans="1:12">
      <c r="A46" s="3" t="str">
        <f t="shared" si="1"/>
        <v>United States-tech</v>
      </c>
      <c r="B46" s="3" t="s">
        <v>61</v>
      </c>
      <c r="C46" s="3" t="s">
        <v>264</v>
      </c>
      <c r="D46" s="3" t="s">
        <v>329</v>
      </c>
      <c r="E46" s="3" t="str">
        <f t="shared" si="0"/>
        <v>US</v>
      </c>
      <c r="F46" s="3" t="s">
        <v>481</v>
      </c>
      <c r="G46" s="3" t="s">
        <v>130</v>
      </c>
      <c r="H46" s="4"/>
      <c r="I46" s="4"/>
      <c r="J46" s="4"/>
      <c r="K46" s="4"/>
      <c r="L46" s="4"/>
    </row>
    <row r="47" spans="1:12">
      <c r="A47" s="3" t="str">
        <f t="shared" si="1"/>
        <v>United States-tech</v>
      </c>
      <c r="B47" s="3" t="s">
        <v>61</v>
      </c>
      <c r="C47" s="3" t="s">
        <v>264</v>
      </c>
      <c r="D47" s="3" t="s">
        <v>329</v>
      </c>
      <c r="E47" s="3" t="str">
        <f t="shared" si="0"/>
        <v>US</v>
      </c>
      <c r="F47" s="3" t="s">
        <v>390</v>
      </c>
      <c r="G47" s="3" t="s">
        <v>124</v>
      </c>
      <c r="H47" s="4"/>
      <c r="I47" s="4"/>
      <c r="J47" s="4"/>
      <c r="K47" s="4"/>
      <c r="L47" s="4"/>
    </row>
    <row r="48" spans="1:12">
      <c r="A48" s="3" t="str">
        <f t="shared" si="1"/>
        <v>United States-tech</v>
      </c>
      <c r="B48" s="3" t="s">
        <v>61</v>
      </c>
      <c r="C48" s="3" t="s">
        <v>264</v>
      </c>
      <c r="D48" s="3" t="s">
        <v>329</v>
      </c>
      <c r="E48" s="3" t="str">
        <f t="shared" si="0"/>
        <v>US</v>
      </c>
      <c r="F48" s="3" t="s">
        <v>482</v>
      </c>
      <c r="G48" s="3" t="s">
        <v>126</v>
      </c>
      <c r="H48" s="4"/>
      <c r="I48" s="4"/>
      <c r="J48" s="4"/>
      <c r="K48" s="4"/>
      <c r="L48" s="4"/>
    </row>
    <row r="49" spans="1:12">
      <c r="A49" s="3" t="str">
        <f t="shared" si="1"/>
        <v>United States-tech</v>
      </c>
      <c r="B49" s="3" t="s">
        <v>61</v>
      </c>
      <c r="C49" s="3" t="s">
        <v>264</v>
      </c>
      <c r="D49" s="3" t="s">
        <v>329</v>
      </c>
      <c r="E49" s="3" t="str">
        <f t="shared" si="0"/>
        <v>US</v>
      </c>
      <c r="F49" s="3" t="s">
        <v>384</v>
      </c>
      <c r="G49" s="3" t="s">
        <v>127</v>
      </c>
      <c r="H49" s="4"/>
      <c r="I49" s="4"/>
      <c r="J49" s="4"/>
      <c r="K49" s="4"/>
      <c r="L49" s="4"/>
    </row>
    <row r="50" spans="1:12">
      <c r="A50" s="3" t="str">
        <f t="shared" si="1"/>
        <v>United States-tech</v>
      </c>
      <c r="B50" s="3" t="s">
        <v>61</v>
      </c>
      <c r="C50" s="3" t="s">
        <v>264</v>
      </c>
      <c r="D50" s="3" t="s">
        <v>329</v>
      </c>
      <c r="E50" s="3" t="str">
        <f t="shared" si="0"/>
        <v>US</v>
      </c>
      <c r="F50" s="3" t="s">
        <v>299</v>
      </c>
      <c r="G50" s="3" t="s">
        <v>208</v>
      </c>
      <c r="H50" s="4"/>
      <c r="I50" s="4"/>
      <c r="J50" s="4"/>
      <c r="K50" s="4"/>
      <c r="L50" s="4"/>
    </row>
    <row r="51" spans="1:12">
      <c r="A51" s="3" t="str">
        <f t="shared" si="1"/>
        <v>United States-tech</v>
      </c>
      <c r="B51" s="3" t="s">
        <v>61</v>
      </c>
      <c r="C51" s="3" t="s">
        <v>264</v>
      </c>
      <c r="D51" s="3" t="s">
        <v>329</v>
      </c>
      <c r="E51" s="3" t="str">
        <f t="shared" si="0"/>
        <v>US</v>
      </c>
      <c r="F51" s="3" t="s">
        <v>393</v>
      </c>
      <c r="G51" s="3" t="s">
        <v>85</v>
      </c>
      <c r="H51" s="4"/>
      <c r="I51" s="4"/>
      <c r="J51" s="4"/>
      <c r="K51" s="4"/>
      <c r="L51" s="4"/>
    </row>
    <row r="52" spans="1:12">
      <c r="A52" s="3" t="str">
        <f t="shared" si="1"/>
        <v>United States-tech</v>
      </c>
      <c r="B52" s="3" t="s">
        <v>61</v>
      </c>
      <c r="C52" s="3" t="s">
        <v>264</v>
      </c>
      <c r="D52" s="3" t="s">
        <v>329</v>
      </c>
      <c r="E52" s="3" t="str">
        <f t="shared" si="0"/>
        <v>US</v>
      </c>
      <c r="F52" s="3" t="s">
        <v>483</v>
      </c>
      <c r="G52" s="3" t="s">
        <v>58</v>
      </c>
      <c r="H52" s="4"/>
      <c r="I52" s="4"/>
      <c r="J52" s="4"/>
      <c r="K52" s="4"/>
      <c r="L52" s="4"/>
    </row>
    <row r="53" spans="1:12">
      <c r="A53" s="3" t="str">
        <f t="shared" si="1"/>
        <v>United States-tech</v>
      </c>
      <c r="B53" s="3" t="s">
        <v>61</v>
      </c>
      <c r="C53" s="3" t="s">
        <v>264</v>
      </c>
      <c r="D53" s="3" t="s">
        <v>329</v>
      </c>
      <c r="E53" s="3" t="str">
        <f t="shared" si="0"/>
        <v>US</v>
      </c>
      <c r="F53" s="3" t="s">
        <v>397</v>
      </c>
      <c r="G53" s="3" t="s">
        <v>130</v>
      </c>
      <c r="H53" s="4"/>
      <c r="I53" s="4"/>
      <c r="J53" s="4"/>
      <c r="K53" s="4"/>
      <c r="L53" s="4"/>
    </row>
    <row r="54" spans="1:12">
      <c r="A54" s="3" t="str">
        <f t="shared" si="1"/>
        <v>United States-tech</v>
      </c>
      <c r="B54" s="3" t="s">
        <v>61</v>
      </c>
      <c r="C54" s="3" t="s">
        <v>264</v>
      </c>
      <c r="D54" s="3" t="s">
        <v>329</v>
      </c>
      <c r="E54" s="3" t="str">
        <f t="shared" si="0"/>
        <v>US</v>
      </c>
      <c r="F54" s="3" t="s">
        <v>484</v>
      </c>
      <c r="G54" s="3" t="s">
        <v>100</v>
      </c>
      <c r="H54" s="4"/>
      <c r="I54" s="4"/>
      <c r="J54" s="4"/>
      <c r="K54" s="4"/>
      <c r="L54" s="4"/>
    </row>
    <row r="55" spans="1:12">
      <c r="A55" s="3" t="str">
        <f t="shared" si="1"/>
        <v>United States-tech</v>
      </c>
      <c r="B55" s="3" t="s">
        <v>61</v>
      </c>
      <c r="C55" s="3" t="s">
        <v>264</v>
      </c>
      <c r="D55" s="3" t="s">
        <v>329</v>
      </c>
      <c r="E55" s="3" t="str">
        <f t="shared" si="0"/>
        <v>US</v>
      </c>
      <c r="F55" s="3" t="s">
        <v>485</v>
      </c>
      <c r="G55" s="3" t="s">
        <v>100</v>
      </c>
      <c r="H55" s="4"/>
      <c r="I55" s="4"/>
      <c r="J55" s="4"/>
      <c r="K55" s="4"/>
      <c r="L55" s="4"/>
    </row>
    <row r="56" spans="1:12">
      <c r="A56" s="3" t="str">
        <f t="shared" si="1"/>
        <v>United States-tech</v>
      </c>
      <c r="B56" s="3" t="s">
        <v>61</v>
      </c>
      <c r="C56" s="3" t="s">
        <v>264</v>
      </c>
      <c r="D56" s="3" t="s">
        <v>329</v>
      </c>
      <c r="E56" s="3" t="str">
        <f t="shared" si="0"/>
        <v>US</v>
      </c>
      <c r="F56" s="3" t="s">
        <v>129</v>
      </c>
      <c r="G56" s="3" t="s">
        <v>129</v>
      </c>
      <c r="H56" s="4"/>
      <c r="I56" s="4"/>
      <c r="J56" s="4"/>
      <c r="K56" s="4"/>
      <c r="L56" s="4"/>
    </row>
    <row r="57" spans="1:12">
      <c r="A57" s="3" t="str">
        <f t="shared" si="1"/>
        <v>United States-tech</v>
      </c>
      <c r="B57" s="3" t="s">
        <v>61</v>
      </c>
      <c r="C57" s="3" t="s">
        <v>264</v>
      </c>
      <c r="D57" s="3" t="s">
        <v>329</v>
      </c>
      <c r="E57" s="3" t="str">
        <f t="shared" si="0"/>
        <v>US</v>
      </c>
      <c r="F57" s="3" t="s">
        <v>337</v>
      </c>
      <c r="G57" s="3" t="s">
        <v>211</v>
      </c>
      <c r="H57" s="4"/>
      <c r="I57" s="4"/>
      <c r="J57" s="4"/>
      <c r="K57" s="4"/>
      <c r="L57" s="4"/>
    </row>
    <row r="58" spans="1:12">
      <c r="A58" s="3" t="str">
        <f t="shared" si="1"/>
        <v>United States-tech</v>
      </c>
      <c r="B58" s="3" t="s">
        <v>61</v>
      </c>
      <c r="C58" s="3" t="s">
        <v>264</v>
      </c>
      <c r="D58" s="3" t="s">
        <v>329</v>
      </c>
      <c r="E58" s="3" t="str">
        <f t="shared" si="0"/>
        <v>US</v>
      </c>
      <c r="F58" s="3" t="s">
        <v>292</v>
      </c>
      <c r="G58" s="3" t="s">
        <v>107</v>
      </c>
      <c r="H58" s="4"/>
      <c r="I58" s="4"/>
      <c r="J58" s="4"/>
      <c r="K58" s="4"/>
      <c r="L58" s="4"/>
    </row>
    <row r="59" spans="1:12">
      <c r="A59" s="3" t="str">
        <f t="shared" si="1"/>
        <v>United States-tech</v>
      </c>
      <c r="B59" s="3" t="s">
        <v>61</v>
      </c>
      <c r="C59" s="3" t="s">
        <v>264</v>
      </c>
      <c r="D59" s="3" t="s">
        <v>329</v>
      </c>
      <c r="E59" s="3" t="str">
        <f t="shared" si="0"/>
        <v>US</v>
      </c>
      <c r="F59" s="3" t="s">
        <v>330</v>
      </c>
      <c r="G59" s="3" t="s">
        <v>108</v>
      </c>
      <c r="H59" s="4"/>
      <c r="I59" s="4"/>
      <c r="J59" s="4"/>
      <c r="K59" s="4"/>
      <c r="L59" s="4"/>
    </row>
    <row r="60" spans="1:12">
      <c r="A60" s="3" t="str">
        <f t="shared" si="1"/>
        <v>United States-tech</v>
      </c>
      <c r="B60" s="3" t="s">
        <v>61</v>
      </c>
      <c r="C60" s="3" t="s">
        <v>264</v>
      </c>
      <c r="D60" s="3" t="s">
        <v>329</v>
      </c>
      <c r="E60" s="3" t="str">
        <f t="shared" si="0"/>
        <v>US</v>
      </c>
      <c r="F60" s="3" t="s">
        <v>278</v>
      </c>
      <c r="G60" s="3" t="s">
        <v>80</v>
      </c>
      <c r="H60" s="4"/>
      <c r="I60" s="4"/>
      <c r="J60" s="4"/>
      <c r="K60" s="4"/>
      <c r="L60" s="4"/>
    </row>
    <row r="61" spans="1:12">
      <c r="A61" s="3" t="str">
        <f t="shared" si="1"/>
        <v>United States-tech</v>
      </c>
      <c r="B61" s="3" t="s">
        <v>61</v>
      </c>
      <c r="C61" s="3" t="s">
        <v>264</v>
      </c>
      <c r="D61" s="3" t="s">
        <v>329</v>
      </c>
      <c r="E61" s="3" t="str">
        <f t="shared" si="0"/>
        <v>US</v>
      </c>
      <c r="F61" s="3" t="s">
        <v>486</v>
      </c>
      <c r="G61" s="3" t="s">
        <v>116</v>
      </c>
      <c r="H61" s="4"/>
      <c r="I61" s="4"/>
      <c r="J61" s="4"/>
      <c r="K61" s="4"/>
      <c r="L61" s="4"/>
    </row>
    <row r="62" spans="1:12">
      <c r="A62" s="3" t="str">
        <f t="shared" si="1"/>
        <v>United States-tech</v>
      </c>
      <c r="B62" s="3" t="s">
        <v>61</v>
      </c>
      <c r="C62" s="3" t="s">
        <v>264</v>
      </c>
      <c r="D62" s="3" t="s">
        <v>329</v>
      </c>
      <c r="E62" s="3" t="str">
        <f t="shared" si="0"/>
        <v>US</v>
      </c>
      <c r="F62" s="3" t="s">
        <v>418</v>
      </c>
      <c r="G62" s="3" t="s">
        <v>123</v>
      </c>
      <c r="H62" s="4"/>
      <c r="I62" s="4"/>
      <c r="J62" s="4"/>
      <c r="K62" s="4"/>
      <c r="L62" s="4"/>
    </row>
    <row r="63" spans="1:12">
      <c r="A63" s="3" t="str">
        <f t="shared" si="1"/>
        <v>United States-tech</v>
      </c>
      <c r="B63" s="3" t="s">
        <v>61</v>
      </c>
      <c r="C63" s="3" t="s">
        <v>264</v>
      </c>
      <c r="D63" s="3" t="s">
        <v>329</v>
      </c>
      <c r="E63" s="3" t="str">
        <f t="shared" si="0"/>
        <v>US</v>
      </c>
      <c r="F63" s="3" t="s">
        <v>487</v>
      </c>
      <c r="G63" s="3" t="s">
        <v>223</v>
      </c>
      <c r="H63" s="4"/>
      <c r="I63" s="4"/>
      <c r="J63" s="4"/>
      <c r="K63" s="4"/>
      <c r="L63" s="4"/>
    </row>
    <row r="64" spans="1:12">
      <c r="A64" s="3" t="str">
        <f t="shared" si="1"/>
        <v>United States-tech</v>
      </c>
      <c r="B64" s="3" t="s">
        <v>61</v>
      </c>
      <c r="C64" s="3" t="s">
        <v>264</v>
      </c>
      <c r="D64" s="3" t="s">
        <v>329</v>
      </c>
      <c r="E64" s="3" t="str">
        <f t="shared" si="0"/>
        <v>US</v>
      </c>
      <c r="F64" s="3" t="s">
        <v>338</v>
      </c>
      <c r="G64" s="3" t="s">
        <v>117</v>
      </c>
      <c r="H64" s="4"/>
      <c r="I64" s="4"/>
      <c r="J64" s="4"/>
      <c r="K64" s="4"/>
      <c r="L64" s="4"/>
    </row>
    <row r="65" spans="1:12">
      <c r="A65" s="3" t="str">
        <f t="shared" si="1"/>
        <v>United States-tech</v>
      </c>
      <c r="B65" s="3" t="s">
        <v>61</v>
      </c>
      <c r="C65" s="3" t="s">
        <v>264</v>
      </c>
      <c r="D65" s="3" t="s">
        <v>329</v>
      </c>
      <c r="E65" s="3" t="str">
        <f t="shared" si="0"/>
        <v>US</v>
      </c>
      <c r="F65" s="3" t="s">
        <v>290</v>
      </c>
      <c r="G65" s="3" t="s">
        <v>85</v>
      </c>
      <c r="H65" s="4"/>
      <c r="I65" s="4"/>
      <c r="J65" s="4"/>
      <c r="K65" s="4"/>
      <c r="L65" s="4"/>
    </row>
    <row r="66" spans="1:12">
      <c r="A66" s="3" t="str">
        <f t="shared" si="1"/>
        <v>United States-tech</v>
      </c>
      <c r="B66" s="3" t="s">
        <v>61</v>
      </c>
      <c r="C66" s="3" t="s">
        <v>264</v>
      </c>
      <c r="D66" s="3" t="s">
        <v>329</v>
      </c>
      <c r="E66" s="3" t="str">
        <f>IF(OR(D66="Doubao Seed 2.0 Pro",D66="DeepSeek Reasoner V3.2"),"China","US")</f>
        <v>US</v>
      </c>
      <c r="F66" s="3" t="s">
        <v>285</v>
      </c>
      <c r="G66" s="3" t="s">
        <v>207</v>
      </c>
      <c r="H66" s="4"/>
      <c r="I66" s="4"/>
      <c r="J66" s="4"/>
      <c r="K66" s="4"/>
      <c r="L66" s="4"/>
    </row>
    <row r="67" spans="1:12">
      <c r="A67" s="3" t="str">
        <f>C67&amp;"-"&amp;B67</f>
        <v>United States-tech</v>
      </c>
      <c r="B67" s="3" t="s">
        <v>61</v>
      </c>
      <c r="C67" s="3" t="s">
        <v>264</v>
      </c>
      <c r="D67" s="3" t="s">
        <v>329</v>
      </c>
      <c r="E67" s="3" t="str">
        <f>IF(OR(D67="Doubao Seed 2.0 Pro",D67="DeepSeek Reasoner V3.2"),"China","US")</f>
        <v>US</v>
      </c>
      <c r="F67" s="3" t="s">
        <v>488</v>
      </c>
      <c r="G67" s="3" t="s">
        <v>246</v>
      </c>
      <c r="H67" s="4"/>
      <c r="I67" s="4"/>
      <c r="J67" s="4"/>
      <c r="K67" s="4"/>
      <c r="L67" s="4"/>
    </row>
    <row r="68" spans="1:12">
      <c r="A68" s="3" t="str">
        <f>C68&amp;"-"&amp;B68</f>
        <v>United States-tech</v>
      </c>
      <c r="B68" s="3" t="s">
        <v>61</v>
      </c>
      <c r="C68" s="3" t="s">
        <v>264</v>
      </c>
      <c r="D68" s="3" t="s">
        <v>329</v>
      </c>
      <c r="E68" s="3" t="str">
        <f>IF(OR(D68="Doubao Seed 2.0 Pro",D68="DeepSeek Reasoner V3.2"),"China","US")</f>
        <v>US</v>
      </c>
      <c r="F68" s="3" t="s">
        <v>372</v>
      </c>
      <c r="G68" s="3" t="s">
        <v>131</v>
      </c>
      <c r="H68" s="4"/>
      <c r="I68" s="4"/>
      <c r="J68" s="4"/>
      <c r="K68" s="4"/>
      <c r="L68" s="4"/>
    </row>
    <row r="69" spans="1:12">
      <c r="A69" s="3" t="str">
        <f>C69&amp;"-"&amp;B69</f>
        <v>United States-tech</v>
      </c>
      <c r="B69" s="3" t="s">
        <v>61</v>
      </c>
      <c r="C69" s="3" t="s">
        <v>264</v>
      </c>
      <c r="D69" s="3" t="s">
        <v>329</v>
      </c>
      <c r="E69" s="3" t="str">
        <f>IF(OR(D69="Doubao Seed 2.0 Pro",D69="DeepSeek Reasoner V3.2"),"China","US")</f>
        <v>US</v>
      </c>
      <c r="F69" s="3" t="s">
        <v>417</v>
      </c>
      <c r="G69" s="3" t="s">
        <v>227</v>
      </c>
      <c r="H69" s="4"/>
      <c r="I69" s="4"/>
      <c r="J69" s="4"/>
      <c r="K69" s="4"/>
      <c r="L69" s="4"/>
    </row>
    <row r="70" spans="1:12">
      <c r="A70" s="3" t="str">
        <f>C70&amp;"-"&amp;B70</f>
        <v>United States-tech</v>
      </c>
      <c r="B70" s="3" t="s">
        <v>61</v>
      </c>
      <c r="C70" s="3" t="s">
        <v>264</v>
      </c>
      <c r="D70" s="3" t="s">
        <v>329</v>
      </c>
      <c r="E70" s="3" t="str">
        <f>IF(OR(D70="Doubao Seed 2.0 Pro",D70="DeepSeek Reasoner V3.2"),"China","US")</f>
        <v>US</v>
      </c>
      <c r="F70" s="3" t="s">
        <v>413</v>
      </c>
      <c r="G70" s="3" t="s">
        <v>224</v>
      </c>
      <c r="H70" s="4"/>
      <c r="I70" s="4"/>
      <c r="J70" s="4"/>
      <c r="K70" s="4"/>
      <c r="L70" s="4"/>
    </row>
    <row r="71" spans="1:12">
      <c r="A71" s="4" t="s">
        <v>419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3" t="str">
        <f>C74&amp;"-"&amp;B74</f>
        <v>United States-tech</v>
      </c>
      <c r="B74" s="3" t="s">
        <v>61</v>
      </c>
      <c r="C74" s="3" t="s">
        <v>264</v>
      </c>
      <c r="D74" s="4" t="s">
        <v>197</v>
      </c>
      <c r="E74" s="4"/>
      <c r="F74" s="4"/>
      <c r="G74" s="3" t="s">
        <v>131</v>
      </c>
      <c r="H74" s="8">
        <v>1</v>
      </c>
      <c r="I74" s="8"/>
      <c r="J74" s="8"/>
      <c r="K74" s="8" t="s">
        <v>24</v>
      </c>
      <c r="L74" s="3" t="s">
        <v>55</v>
      </c>
    </row>
    <row r="75" spans="1:12">
      <c r="A75" s="3" t="str">
        <f t="shared" ref="A75:A107" si="2">C75&amp;"-"&amp;B75</f>
        <v>United States-tech</v>
      </c>
      <c r="B75" s="3" t="s">
        <v>61</v>
      </c>
      <c r="C75" s="3" t="s">
        <v>264</v>
      </c>
      <c r="D75" s="4"/>
      <c r="E75" s="4"/>
      <c r="F75" s="4"/>
      <c r="G75" s="3" t="s">
        <v>130</v>
      </c>
      <c r="H75" s="8" t="s">
        <v>217</v>
      </c>
      <c r="I75" s="8" t="s">
        <v>245</v>
      </c>
      <c r="J75" s="8" t="s">
        <v>48</v>
      </c>
      <c r="K75" s="8"/>
      <c r="L75" s="3"/>
    </row>
    <row r="76" spans="1:12">
      <c r="A76" s="3" t="str">
        <f t="shared" si="2"/>
        <v>United States-tech</v>
      </c>
      <c r="B76" s="3" t="s">
        <v>61</v>
      </c>
      <c r="C76" s="3" t="s">
        <v>264</v>
      </c>
      <c r="D76" s="4"/>
      <c r="E76" s="4"/>
      <c r="F76" s="4"/>
      <c r="G76" s="3" t="s">
        <v>129</v>
      </c>
      <c r="H76" s="8">
        <v>1</v>
      </c>
      <c r="I76" s="8"/>
      <c r="J76" s="8"/>
      <c r="K76" s="8" t="s">
        <v>199</v>
      </c>
      <c r="L76" s="3" t="s">
        <v>200</v>
      </c>
    </row>
    <row r="77" spans="1:12">
      <c r="A77" s="3" t="str">
        <f t="shared" si="2"/>
        <v>United States-tech</v>
      </c>
      <c r="B77" s="3" t="s">
        <v>61</v>
      </c>
      <c r="C77" s="3" t="s">
        <v>264</v>
      </c>
      <c r="D77" s="4"/>
      <c r="E77" s="4"/>
      <c r="F77" s="4"/>
      <c r="G77" s="3" t="s">
        <v>244</v>
      </c>
      <c r="H77" s="8">
        <v>1</v>
      </c>
      <c r="I77" s="8"/>
      <c r="J77" s="8"/>
      <c r="K77" s="8" t="s">
        <v>199</v>
      </c>
      <c r="L77" s="3" t="s">
        <v>200</v>
      </c>
    </row>
    <row r="78" spans="1:12">
      <c r="A78" s="3" t="str">
        <f t="shared" si="2"/>
        <v>United States-tech</v>
      </c>
      <c r="B78" s="3" t="s">
        <v>61</v>
      </c>
      <c r="C78" s="3" t="s">
        <v>264</v>
      </c>
      <c r="D78" s="4"/>
      <c r="E78" s="4"/>
      <c r="F78" s="4"/>
      <c r="G78" s="3" t="s">
        <v>127</v>
      </c>
      <c r="H78" s="8">
        <v>1</v>
      </c>
      <c r="I78" s="7"/>
      <c r="J78" s="7"/>
      <c r="K78" s="8" t="s">
        <v>199</v>
      </c>
      <c r="L78" s="3" t="s">
        <v>200</v>
      </c>
    </row>
    <row r="79" spans="1:12">
      <c r="A79" s="3" t="str">
        <f t="shared" si="2"/>
        <v>United States-tech</v>
      </c>
      <c r="B79" s="3" t="s">
        <v>61</v>
      </c>
      <c r="C79" s="3" t="s">
        <v>264</v>
      </c>
      <c r="D79" s="4"/>
      <c r="E79" s="4"/>
      <c r="F79" s="4"/>
      <c r="G79" s="3" t="s">
        <v>126</v>
      </c>
      <c r="H79" s="8" t="s">
        <v>217</v>
      </c>
      <c r="I79" s="7" t="s">
        <v>245</v>
      </c>
      <c r="J79" s="7" t="s">
        <v>48</v>
      </c>
      <c r="K79" s="8"/>
      <c r="L79" s="3"/>
    </row>
    <row r="80" spans="1:12">
      <c r="A80" s="3" t="str">
        <f t="shared" si="2"/>
        <v>United States-tech</v>
      </c>
      <c r="B80" s="3" t="s">
        <v>61</v>
      </c>
      <c r="C80" s="3" t="s">
        <v>264</v>
      </c>
      <c r="D80" s="4"/>
      <c r="E80" s="4"/>
      <c r="F80" s="4"/>
      <c r="G80" s="3" t="s">
        <v>208</v>
      </c>
      <c r="H80" s="8">
        <v>1</v>
      </c>
      <c r="I80" s="8"/>
      <c r="J80" s="8"/>
      <c r="K80" s="8" t="s">
        <v>199</v>
      </c>
      <c r="L80" s="3" t="s">
        <v>200</v>
      </c>
    </row>
    <row r="81" spans="1:12">
      <c r="A81" s="3" t="str">
        <f t="shared" si="2"/>
        <v>United States-tech</v>
      </c>
      <c r="B81" s="3" t="s">
        <v>61</v>
      </c>
      <c r="C81" s="3" t="s">
        <v>264</v>
      </c>
      <c r="D81" s="4"/>
      <c r="E81" s="4"/>
      <c r="F81" s="4"/>
      <c r="G81" s="3" t="s">
        <v>207</v>
      </c>
      <c r="H81" s="8">
        <v>1</v>
      </c>
      <c r="I81" s="8"/>
      <c r="J81" s="8"/>
      <c r="K81" s="8" t="s">
        <v>199</v>
      </c>
      <c r="L81" s="3" t="s">
        <v>200</v>
      </c>
    </row>
    <row r="82" spans="1:12">
      <c r="A82" s="3" t="str">
        <f t="shared" si="2"/>
        <v>United States-tech</v>
      </c>
      <c r="B82" s="3" t="s">
        <v>61</v>
      </c>
      <c r="C82" s="3" t="s">
        <v>264</v>
      </c>
      <c r="D82" s="4"/>
      <c r="E82" s="4"/>
      <c r="F82" s="4"/>
      <c r="G82" s="3" t="s">
        <v>124</v>
      </c>
      <c r="H82" s="8">
        <v>1</v>
      </c>
      <c r="I82" s="7" t="s">
        <v>245</v>
      </c>
      <c r="J82" s="7" t="s">
        <v>48</v>
      </c>
      <c r="K82" s="8"/>
      <c r="L82" s="3"/>
    </row>
    <row r="83" spans="1:12">
      <c r="A83" s="3" t="str">
        <f t="shared" si="2"/>
        <v>United States-tech</v>
      </c>
      <c r="B83" s="3" t="s">
        <v>61</v>
      </c>
      <c r="C83" s="3" t="s">
        <v>264</v>
      </c>
      <c r="D83" s="4"/>
      <c r="E83" s="4"/>
      <c r="F83" s="4"/>
      <c r="G83" s="3" t="s">
        <v>123</v>
      </c>
      <c r="H83" s="8">
        <v>1</v>
      </c>
      <c r="I83" s="8"/>
      <c r="J83" s="8"/>
      <c r="K83" s="8" t="s">
        <v>199</v>
      </c>
      <c r="L83" s="3" t="s">
        <v>200</v>
      </c>
    </row>
    <row r="84" spans="1:12">
      <c r="A84" s="3" t="str">
        <f t="shared" si="2"/>
        <v>United States-tech</v>
      </c>
      <c r="B84" s="3" t="s">
        <v>61</v>
      </c>
      <c r="C84" s="3" t="s">
        <v>264</v>
      </c>
      <c r="D84" s="4"/>
      <c r="E84" s="4"/>
      <c r="F84" s="4"/>
      <c r="G84" s="3" t="s">
        <v>246</v>
      </c>
      <c r="H84" s="8">
        <v>1</v>
      </c>
      <c r="I84" s="8"/>
      <c r="J84" s="8"/>
      <c r="K84" s="8" t="s">
        <v>199</v>
      </c>
      <c r="L84" s="3" t="s">
        <v>200</v>
      </c>
    </row>
    <row r="85" spans="1:12">
      <c r="A85" s="3" t="str">
        <f t="shared" si="2"/>
        <v>United States-tech</v>
      </c>
      <c r="B85" s="3" t="s">
        <v>61</v>
      </c>
      <c r="C85" s="3" t="s">
        <v>264</v>
      </c>
      <c r="D85" s="4"/>
      <c r="E85" s="4"/>
      <c r="F85" s="4"/>
      <c r="G85" s="3" t="s">
        <v>122</v>
      </c>
      <c r="H85" s="8">
        <v>1</v>
      </c>
      <c r="I85" s="7"/>
      <c r="J85" s="7"/>
      <c r="K85" s="8" t="s">
        <v>24</v>
      </c>
      <c r="L85" s="3" t="s">
        <v>25</v>
      </c>
    </row>
    <row r="86" spans="1:12">
      <c r="A86" s="3" t="str">
        <f t="shared" si="2"/>
        <v>United States-tech</v>
      </c>
      <c r="B86" s="3" t="s">
        <v>61</v>
      </c>
      <c r="C86" s="3" t="s">
        <v>264</v>
      </c>
      <c r="D86" s="4"/>
      <c r="E86" s="4"/>
      <c r="F86" s="4"/>
      <c r="G86" s="3" t="s">
        <v>121</v>
      </c>
      <c r="H86" s="8" t="s">
        <v>217</v>
      </c>
      <c r="I86" s="7">
        <v>78948</v>
      </c>
      <c r="J86" s="7" t="s">
        <v>48</v>
      </c>
      <c r="K86" s="8"/>
      <c r="L86" s="3"/>
    </row>
    <row r="87" spans="1:12">
      <c r="A87" s="3" t="str">
        <f t="shared" si="2"/>
        <v>United States-tech</v>
      </c>
      <c r="B87" s="3" t="s">
        <v>61</v>
      </c>
      <c r="C87" s="3" t="s">
        <v>264</v>
      </c>
      <c r="D87" s="4"/>
      <c r="E87" s="4"/>
      <c r="F87" s="4"/>
      <c r="G87" s="3" t="s">
        <v>118</v>
      </c>
      <c r="H87" s="8">
        <v>1</v>
      </c>
      <c r="I87" s="7"/>
      <c r="J87" s="7"/>
      <c r="K87" s="8" t="s">
        <v>199</v>
      </c>
      <c r="L87" s="3" t="s">
        <v>200</v>
      </c>
    </row>
    <row r="88" spans="1:12">
      <c r="A88" s="3" t="str">
        <f t="shared" si="2"/>
        <v>United States-tech</v>
      </c>
      <c r="B88" s="3" t="s">
        <v>61</v>
      </c>
      <c r="C88" s="3" t="s">
        <v>264</v>
      </c>
      <c r="D88" s="4"/>
      <c r="E88" s="4"/>
      <c r="F88" s="4"/>
      <c r="G88" s="3" t="s">
        <v>117</v>
      </c>
      <c r="H88" s="8">
        <v>1</v>
      </c>
      <c r="I88" s="8"/>
      <c r="J88" s="8"/>
      <c r="K88" s="8" t="s">
        <v>199</v>
      </c>
      <c r="L88" s="3" t="s">
        <v>200</v>
      </c>
    </row>
    <row r="89" spans="1:12">
      <c r="A89" s="3" t="str">
        <f t="shared" si="2"/>
        <v>United States-tech</v>
      </c>
      <c r="B89" s="3" t="s">
        <v>61</v>
      </c>
      <c r="C89" s="3" t="s">
        <v>264</v>
      </c>
      <c r="D89" s="4"/>
      <c r="E89" s="4"/>
      <c r="F89" s="4"/>
      <c r="G89" s="3" t="s">
        <v>116</v>
      </c>
      <c r="H89" s="8">
        <v>1</v>
      </c>
      <c r="I89" s="8"/>
      <c r="J89" s="8"/>
      <c r="K89" s="8" t="s">
        <v>199</v>
      </c>
      <c r="L89" s="3" t="s">
        <v>200</v>
      </c>
    </row>
    <row r="90" spans="1:12">
      <c r="A90" s="3" t="str">
        <f t="shared" si="2"/>
        <v>United States-tech</v>
      </c>
      <c r="B90" s="3" t="s">
        <v>61</v>
      </c>
      <c r="C90" s="3" t="s">
        <v>264</v>
      </c>
      <c r="D90" s="4"/>
      <c r="E90" s="4"/>
      <c r="F90" s="4"/>
      <c r="G90" s="3" t="s">
        <v>113</v>
      </c>
      <c r="H90" s="8">
        <v>1</v>
      </c>
      <c r="I90" s="7"/>
      <c r="J90" s="8"/>
      <c r="K90" s="8" t="s">
        <v>24</v>
      </c>
      <c r="L90" s="3" t="s">
        <v>25</v>
      </c>
    </row>
    <row r="91" spans="1:12">
      <c r="A91" s="3" t="str">
        <f t="shared" si="2"/>
        <v>United States-tech</v>
      </c>
      <c r="B91" s="3" t="s">
        <v>61</v>
      </c>
      <c r="C91" s="3" t="s">
        <v>264</v>
      </c>
      <c r="D91" s="4"/>
      <c r="E91" s="4"/>
      <c r="F91" s="4"/>
      <c r="G91" s="3" t="s">
        <v>223</v>
      </c>
      <c r="H91" s="8" t="s">
        <v>217</v>
      </c>
      <c r="I91" s="7">
        <v>25726</v>
      </c>
      <c r="J91" s="7" t="s">
        <v>48</v>
      </c>
      <c r="K91" s="3"/>
      <c r="L91" s="3"/>
    </row>
    <row r="92" spans="1:12">
      <c r="A92" s="3" t="str">
        <f t="shared" si="2"/>
        <v>United States-tech</v>
      </c>
      <c r="B92" s="3" t="s">
        <v>61</v>
      </c>
      <c r="C92" s="3" t="s">
        <v>264</v>
      </c>
      <c r="D92" s="4"/>
      <c r="E92" s="4"/>
      <c r="F92" s="4"/>
      <c r="G92" s="3" t="s">
        <v>108</v>
      </c>
      <c r="H92" s="8" t="s">
        <v>217</v>
      </c>
      <c r="I92" s="7">
        <v>24857</v>
      </c>
      <c r="J92" s="7" t="s">
        <v>32</v>
      </c>
      <c r="K92" s="8"/>
      <c r="L92" s="3"/>
    </row>
    <row r="93" spans="1:12">
      <c r="A93" s="3" t="str">
        <f t="shared" si="2"/>
        <v>United States-tech</v>
      </c>
      <c r="B93" s="3" t="s">
        <v>61</v>
      </c>
      <c r="C93" s="3" t="s">
        <v>264</v>
      </c>
      <c r="D93" s="4"/>
      <c r="E93" s="4"/>
      <c r="F93" s="4"/>
      <c r="G93" s="3" t="s">
        <v>107</v>
      </c>
      <c r="H93" s="8">
        <v>1</v>
      </c>
      <c r="I93" s="8"/>
      <c r="J93" s="8"/>
      <c r="K93" s="8" t="s">
        <v>199</v>
      </c>
      <c r="L93" s="3" t="s">
        <v>200</v>
      </c>
    </row>
    <row r="94" spans="1:12">
      <c r="A94" s="3" t="str">
        <f t="shared" si="2"/>
        <v>United States-tech</v>
      </c>
      <c r="B94" s="3" t="s">
        <v>61</v>
      </c>
      <c r="C94" s="3" t="s">
        <v>264</v>
      </c>
      <c r="D94" s="4"/>
      <c r="E94" s="4"/>
      <c r="F94" s="4"/>
      <c r="G94" s="3" t="s">
        <v>106</v>
      </c>
      <c r="H94" s="8">
        <v>1</v>
      </c>
      <c r="I94" s="3"/>
      <c r="J94" s="3"/>
      <c r="K94" s="8" t="s">
        <v>199</v>
      </c>
      <c r="L94" s="3" t="s">
        <v>200</v>
      </c>
    </row>
    <row r="95" spans="1:12">
      <c r="A95" s="3" t="str">
        <f t="shared" si="2"/>
        <v>United States-tech</v>
      </c>
      <c r="B95" s="3" t="s">
        <v>61</v>
      </c>
      <c r="C95" s="3" t="s">
        <v>264</v>
      </c>
      <c r="D95" s="4"/>
      <c r="E95" s="4"/>
      <c r="F95" s="4"/>
      <c r="G95" s="3" t="s">
        <v>105</v>
      </c>
      <c r="H95" s="8">
        <v>1</v>
      </c>
      <c r="I95" s="3"/>
      <c r="J95" s="3"/>
      <c r="K95" s="8" t="s">
        <v>199</v>
      </c>
      <c r="L95" s="3" t="s">
        <v>200</v>
      </c>
    </row>
    <row r="96" spans="1:12">
      <c r="A96" s="3" t="str">
        <f t="shared" si="2"/>
        <v>United States-tech</v>
      </c>
      <c r="B96" s="3" t="s">
        <v>61</v>
      </c>
      <c r="C96" s="3" t="s">
        <v>264</v>
      </c>
      <c r="D96" s="4"/>
      <c r="E96" s="4"/>
      <c r="F96" s="4"/>
      <c r="G96" s="3" t="s">
        <v>100</v>
      </c>
      <c r="H96" s="8">
        <v>1</v>
      </c>
      <c r="I96" s="3"/>
      <c r="J96" s="3"/>
      <c r="K96" s="8" t="s">
        <v>24</v>
      </c>
      <c r="L96" s="3" t="s">
        <v>25</v>
      </c>
    </row>
    <row r="97" spans="1:12">
      <c r="A97" s="3" t="str">
        <f t="shared" si="2"/>
        <v>United States-tech</v>
      </c>
      <c r="B97" s="3" t="s">
        <v>61</v>
      </c>
      <c r="C97" s="3" t="s">
        <v>264</v>
      </c>
      <c r="D97" s="4"/>
      <c r="E97" s="4"/>
      <c r="F97" s="4"/>
      <c r="G97" s="3" t="s">
        <v>95</v>
      </c>
      <c r="H97" s="8">
        <v>1</v>
      </c>
      <c r="I97" s="3"/>
      <c r="J97" s="3"/>
      <c r="K97" s="8" t="s">
        <v>199</v>
      </c>
      <c r="L97" s="3" t="s">
        <v>200</v>
      </c>
    </row>
    <row r="98" spans="1:12">
      <c r="A98" s="3" t="str">
        <f t="shared" si="2"/>
        <v>United States-tech</v>
      </c>
      <c r="B98" s="3" t="s">
        <v>61</v>
      </c>
      <c r="C98" s="3" t="s">
        <v>264</v>
      </c>
      <c r="D98" s="4"/>
      <c r="E98" s="4"/>
      <c r="F98" s="4"/>
      <c r="G98" s="3" t="s">
        <v>94</v>
      </c>
      <c r="H98" s="3">
        <v>1</v>
      </c>
      <c r="I98" s="3"/>
      <c r="J98" s="3"/>
      <c r="K98" s="3" t="s">
        <v>24</v>
      </c>
      <c r="L98" s="3" t="s">
        <v>25</v>
      </c>
    </row>
    <row r="99" spans="1:12">
      <c r="A99" s="3" t="str">
        <f t="shared" si="2"/>
        <v>United States-tech</v>
      </c>
      <c r="B99" s="3" t="s">
        <v>61</v>
      </c>
      <c r="C99" s="3" t="s">
        <v>264</v>
      </c>
      <c r="D99" s="4"/>
      <c r="E99" s="4"/>
      <c r="F99" s="4"/>
      <c r="G99" s="3" t="s">
        <v>224</v>
      </c>
      <c r="H99" s="8" t="s">
        <v>217</v>
      </c>
      <c r="I99" s="3" t="s">
        <v>245</v>
      </c>
      <c r="J99" s="3" t="s">
        <v>48</v>
      </c>
      <c r="K99" s="8"/>
      <c r="L99" s="3"/>
    </row>
    <row r="100" spans="1:12">
      <c r="A100" s="3" t="str">
        <f t="shared" si="2"/>
        <v>United States-tech</v>
      </c>
      <c r="B100" s="3" t="s">
        <v>61</v>
      </c>
      <c r="C100" s="3" t="s">
        <v>264</v>
      </c>
      <c r="D100" s="4"/>
      <c r="E100" s="4"/>
      <c r="F100" s="4"/>
      <c r="G100" s="3" t="s">
        <v>85</v>
      </c>
      <c r="H100" s="8">
        <v>1</v>
      </c>
      <c r="I100" s="3"/>
      <c r="J100" s="3"/>
      <c r="K100" s="8" t="s">
        <v>199</v>
      </c>
      <c r="L100" s="3" t="s">
        <v>200</v>
      </c>
    </row>
    <row r="101" spans="1:12">
      <c r="A101" s="3" t="str">
        <f t="shared" si="2"/>
        <v>United States-tech</v>
      </c>
      <c r="B101" s="3" t="s">
        <v>61</v>
      </c>
      <c r="C101" s="3" t="s">
        <v>264</v>
      </c>
      <c r="D101" s="4"/>
      <c r="E101" s="4"/>
      <c r="F101" s="4"/>
      <c r="G101" s="3" t="s">
        <v>80</v>
      </c>
      <c r="H101" s="8" t="s">
        <v>217</v>
      </c>
      <c r="I101" s="3">
        <v>26557</v>
      </c>
      <c r="J101" s="3" t="s">
        <v>32</v>
      </c>
      <c r="K101" s="8"/>
      <c r="L101" s="3"/>
    </row>
    <row r="102" spans="1:12">
      <c r="A102" s="3" t="str">
        <f t="shared" si="2"/>
        <v>United States-tech</v>
      </c>
      <c r="B102" s="3" t="s">
        <v>61</v>
      </c>
      <c r="C102" s="3" t="s">
        <v>264</v>
      </c>
      <c r="D102" s="4"/>
      <c r="E102" s="4"/>
      <c r="F102" s="4"/>
      <c r="G102" s="3" t="s">
        <v>211</v>
      </c>
      <c r="H102" s="8">
        <v>1</v>
      </c>
      <c r="I102" s="3"/>
      <c r="J102" s="3"/>
      <c r="K102" s="8" t="s">
        <v>199</v>
      </c>
      <c r="L102" s="3" t="s">
        <v>200</v>
      </c>
    </row>
    <row r="103" spans="1:12">
      <c r="A103" s="3" t="str">
        <f t="shared" si="2"/>
        <v>United States-tech</v>
      </c>
      <c r="B103" s="3" t="s">
        <v>61</v>
      </c>
      <c r="C103" s="3" t="s">
        <v>264</v>
      </c>
      <c r="D103" s="4"/>
      <c r="E103" s="4"/>
      <c r="F103" s="4"/>
      <c r="G103" s="3" t="s">
        <v>71</v>
      </c>
      <c r="H103" s="3" t="s">
        <v>217</v>
      </c>
      <c r="I103" s="3" t="s">
        <v>245</v>
      </c>
      <c r="J103" s="3" t="s">
        <v>48</v>
      </c>
      <c r="K103" s="3"/>
      <c r="L103" s="3"/>
    </row>
    <row r="104" spans="1:12">
      <c r="A104" s="3" t="str">
        <f t="shared" si="2"/>
        <v>United States-tech</v>
      </c>
      <c r="B104" s="3" t="s">
        <v>61</v>
      </c>
      <c r="C104" s="3" t="s">
        <v>264</v>
      </c>
      <c r="D104" s="4"/>
      <c r="E104" s="4"/>
      <c r="F104" s="4"/>
      <c r="G104" s="3" t="s">
        <v>201</v>
      </c>
      <c r="H104" s="8">
        <v>1</v>
      </c>
      <c r="I104" s="3"/>
      <c r="J104" s="3"/>
      <c r="K104" s="8" t="s">
        <v>199</v>
      </c>
      <c r="L104" s="3" t="s">
        <v>200</v>
      </c>
    </row>
    <row r="105" spans="1:12">
      <c r="A105" s="3" t="str">
        <f t="shared" si="2"/>
        <v>United States-tech</v>
      </c>
      <c r="B105" s="3" t="s">
        <v>61</v>
      </c>
      <c r="C105" s="3" t="s">
        <v>264</v>
      </c>
      <c r="D105" s="4"/>
      <c r="E105" s="4"/>
      <c r="F105" s="4"/>
      <c r="G105" s="3" t="s">
        <v>58</v>
      </c>
      <c r="H105" s="8">
        <v>1</v>
      </c>
      <c r="I105" s="3"/>
      <c r="J105" s="3"/>
      <c r="K105" s="8" t="s">
        <v>199</v>
      </c>
      <c r="L105" s="3" t="s">
        <v>200</v>
      </c>
    </row>
    <row r="106" spans="1:12">
      <c r="A106" s="3" t="str">
        <f t="shared" si="2"/>
        <v>United States-tech</v>
      </c>
      <c r="B106" s="3" t="s">
        <v>61</v>
      </c>
      <c r="C106" s="3" t="s">
        <v>264</v>
      </c>
      <c r="D106" s="4"/>
      <c r="E106" s="4"/>
      <c r="F106" s="4"/>
      <c r="G106" s="3" t="s">
        <v>23</v>
      </c>
      <c r="H106" s="8">
        <v>1</v>
      </c>
      <c r="I106" s="3"/>
      <c r="J106" s="3"/>
      <c r="K106" s="8" t="s">
        <v>199</v>
      </c>
      <c r="L106" s="3" t="s">
        <v>200</v>
      </c>
    </row>
    <row r="107" spans="1:12">
      <c r="A107" s="3" t="str">
        <f t="shared" si="2"/>
        <v>United States-tech</v>
      </c>
      <c r="B107" s="3" t="s">
        <v>61</v>
      </c>
      <c r="C107" s="3" t="s">
        <v>264</v>
      </c>
      <c r="D107" s="4"/>
      <c r="E107" s="4"/>
      <c r="F107" s="4"/>
      <c r="G107" s="3" t="s">
        <v>227</v>
      </c>
      <c r="H107" s="8">
        <v>1</v>
      </c>
      <c r="I107" s="3"/>
      <c r="J107" s="3"/>
      <c r="K107" s="8" t="s">
        <v>199</v>
      </c>
      <c r="L107" s="3" t="s">
        <v>200</v>
      </c>
    </row>
    <row r="145" spans="6:7">
      <c r="F145" s="1"/>
      <c r="G145" s="1"/>
    </row>
    <row r="155" spans="6:7">
      <c r="G155" s="2"/>
    </row>
    <row r="156" spans="6:7">
      <c r="F156" s="3"/>
      <c r="G156" s="3"/>
    </row>
    <row r="157" spans="6:7">
      <c r="F157" s="3"/>
      <c r="G157" s="3"/>
    </row>
    <row r="158" spans="6:7">
      <c r="F158" s="3"/>
      <c r="G158" s="3"/>
    </row>
    <row r="159" spans="6:7">
      <c r="F159" s="3"/>
      <c r="G159" s="3"/>
    </row>
    <row r="160" spans="6:7">
      <c r="F160" s="3"/>
      <c r="G160" s="3"/>
    </row>
    <row r="161" spans="6:7">
      <c r="F161" s="3"/>
      <c r="G161" s="3"/>
    </row>
    <row r="162" spans="6:7">
      <c r="F162" s="3"/>
      <c r="G162" s="3"/>
    </row>
    <row r="163" spans="6:7">
      <c r="F163" s="3"/>
      <c r="G163" s="3"/>
    </row>
    <row r="164" spans="6:7">
      <c r="F164" s="3"/>
      <c r="G164" s="3"/>
    </row>
    <row r="165" spans="6:7">
      <c r="F165" s="3"/>
      <c r="G165" s="3"/>
    </row>
    <row r="166" spans="6:7">
      <c r="F166" s="3"/>
      <c r="G166" s="3"/>
    </row>
    <row r="167" spans="6:7">
      <c r="F167" s="3"/>
      <c r="G167" s="3"/>
    </row>
    <row r="168" spans="6:7">
      <c r="F168" s="3"/>
      <c r="G168" s="3"/>
    </row>
    <row r="169" spans="6:7">
      <c r="F169" s="3"/>
      <c r="G169" s="3"/>
    </row>
    <row r="170" spans="6:7">
      <c r="F170" s="3"/>
      <c r="G170" s="3"/>
    </row>
    <row r="171" spans="6:7">
      <c r="F171" s="3"/>
      <c r="G171" s="3"/>
    </row>
    <row r="172" spans="6:7">
      <c r="F172" s="3"/>
      <c r="G172" s="3"/>
    </row>
    <row r="173" spans="6:7">
      <c r="F173" s="3"/>
      <c r="G173" s="3"/>
    </row>
    <row r="174" spans="6:7">
      <c r="F174" s="3"/>
      <c r="G174" s="3"/>
    </row>
    <row r="175" spans="6:7">
      <c r="F175" s="3"/>
      <c r="G175" s="3"/>
    </row>
    <row r="176" spans="6:7">
      <c r="F176" s="3"/>
      <c r="G176" s="3"/>
    </row>
    <row r="177" spans="6:7">
      <c r="F177" s="3"/>
      <c r="G177" s="3"/>
    </row>
    <row r="178" spans="6:7">
      <c r="F178" s="3"/>
      <c r="G178" s="3"/>
    </row>
    <row r="179" spans="6:7">
      <c r="F179" s="3"/>
      <c r="G179" s="3"/>
    </row>
    <row r="180" spans="6:7">
      <c r="F180" s="3"/>
      <c r="G180" s="3"/>
    </row>
    <row r="181" spans="6:7">
      <c r="F181" s="3"/>
      <c r="G181" s="3"/>
    </row>
    <row r="182" spans="6:7">
      <c r="F182" s="3"/>
      <c r="G182" s="3"/>
    </row>
    <row r="183" spans="6:7">
      <c r="F183" s="3"/>
      <c r="G183" s="3"/>
    </row>
    <row r="184" spans="6:7">
      <c r="F184" s="3"/>
      <c r="G184" s="3"/>
    </row>
    <row r="185" spans="6:7">
      <c r="F185" s="3"/>
      <c r="G185" s="3"/>
    </row>
    <row r="186" spans="6:7">
      <c r="F186" s="3"/>
      <c r="G186" s="3"/>
    </row>
    <row r="187" spans="6:7">
      <c r="F187" s="3"/>
      <c r="G187" s="3"/>
    </row>
    <row r="188" spans="6:7">
      <c r="F188" s="3"/>
      <c r="G188" s="3"/>
    </row>
    <row r="189" spans="6:7">
      <c r="F189" s="3"/>
      <c r="G189" s="3"/>
    </row>
    <row r="190" spans="6:7">
      <c r="F190" s="3"/>
      <c r="G190" s="3"/>
    </row>
    <row r="191" spans="6:7">
      <c r="F191" s="3"/>
      <c r="G191" s="3"/>
    </row>
    <row r="192" spans="6:7">
      <c r="F192" s="3"/>
      <c r="G192" s="3"/>
    </row>
    <row r="193" spans="6:7">
      <c r="F193" s="3"/>
      <c r="G193" s="3"/>
    </row>
    <row r="194" spans="6:7">
      <c r="F194" s="3"/>
      <c r="G194" s="3"/>
    </row>
    <row r="195" spans="6:7">
      <c r="F195" s="3"/>
      <c r="G195" s="3"/>
    </row>
    <row r="196" spans="6:7">
      <c r="F196" s="3"/>
      <c r="G196" s="3"/>
    </row>
    <row r="197" spans="6:7">
      <c r="F197" s="3"/>
      <c r="G197" s="3"/>
    </row>
    <row r="198" spans="6:7">
      <c r="F198" s="3"/>
      <c r="G198" s="3"/>
    </row>
    <row r="201" spans="6:7">
      <c r="F201" s="1"/>
      <c r="G201" s="1"/>
    </row>
    <row r="208" spans="6:7">
      <c r="F208" s="1"/>
      <c r="G208" s="1"/>
    </row>
    <row r="216" spans="6:7">
      <c r="F216" s="1"/>
      <c r="G216" s="1"/>
    </row>
    <row r="218" spans="6:7">
      <c r="F218" s="1"/>
      <c r="G218" s="1"/>
    </row>
    <row r="219" spans="6:7">
      <c r="F219" s="1"/>
      <c r="G219" s="1"/>
    </row>
    <row r="228" spans="6:7">
      <c r="F228" s="1"/>
      <c r="G228" s="1"/>
    </row>
    <row r="229" spans="6:7">
      <c r="F229" s="1"/>
      <c r="G229" s="1"/>
    </row>
    <row r="230" spans="6:7">
      <c r="F230" s="1"/>
      <c r="G230" s="1"/>
    </row>
    <row r="233" spans="6:7">
      <c r="F233" s="1"/>
      <c r="G233" s="1"/>
    </row>
    <row r="236" spans="6:7">
      <c r="F236" s="1"/>
      <c r="G236" s="1"/>
    </row>
    <row r="238" spans="6:7">
      <c r="F238" s="1"/>
      <c r="G238" s="1"/>
    </row>
    <row r="241" spans="6:7">
      <c r="F241" s="1"/>
      <c r="G241" s="1"/>
    </row>
    <row r="251" spans="6:7">
      <c r="F251" s="1"/>
      <c r="G251" s="1"/>
    </row>
    <row r="253" spans="6:7">
      <c r="F253" s="1"/>
      <c r="G253" s="1"/>
    </row>
    <row r="265" spans="6:7">
      <c r="F265" s="1"/>
      <c r="G265" s="1"/>
    </row>
    <row r="278" spans="6:7">
      <c r="F278" s="1"/>
      <c r="G278" s="1"/>
    </row>
    <row r="286" spans="6:7">
      <c r="F286" s="1"/>
      <c r="G286" s="1"/>
    </row>
    <row r="295" spans="6:7">
      <c r="F295" s="1"/>
      <c r="G295" s="1"/>
    </row>
    <row r="296" spans="6:7">
      <c r="F296" s="1"/>
      <c r="G296" s="1"/>
    </row>
    <row r="299" spans="6:7">
      <c r="F299" s="1"/>
      <c r="G299" s="1"/>
    </row>
    <row r="300" spans="6:7">
      <c r="F300" s="1"/>
      <c r="G300" s="1"/>
    </row>
  </sheetData>
  <autoFilter xmlns:etc="http://www.wps.cn/officeDocument/2017/etCustomData" ref="A1:L306" etc:filterBottomFollowUsedRange="0">
    <extLst/>
  </autoFilter>
  <mergeCells count="3">
    <mergeCell ref="H3:L70"/>
    <mergeCell ref="A71:L73"/>
    <mergeCell ref="D74:F107"/>
  </mergeCells>
  <dataValidations count="6">
    <dataValidation allowBlank="1" showInputMessage="1" showErrorMessage="1" promptTitle="注意，此处是初步标签" prompt="注意，此处是初步标签" sqref="F1 G12 G26 G34 F43:G43 G54 F65:G65 G67 F233:G233 F247:G247 F255:G255 F256 F257:G257 F267:G267 G279 F284:G284 F291:G291 F299:G299 F3:F14 F16:F25 F27:F42 F44:F64 F66:F67 F71:F93 F98:F232 F234:F246 F248:F254 F258:F266 F268:F271 F273:F278 F280:F283 F285:F290 F292:F298 F307:F1048576"/>
    <dataValidation allowBlank="1" showInputMessage="1" showErrorMessage="1" promptTitle="注意，这个是研判后标签" prompt="注意，这个是研判后标签" sqref="G1 G66 G256 G301 G3:G11 G13:G25 G27:G33 G35:G42 G44:G53 G55:G64 G110:G232 G234:G246 G248:G254 G258:G266 G268:G278 G280:G283 G285:G290 G292:G298 G307:G1048576"/>
    <dataValidation type="list" allowBlank="1" showInputMessage="1" showErrorMessage="1" sqref="K92:L92 H108:H127 H193:H236 L3:L91 L93:L107 L237:L1048576">
      <formula1>"1(4/4),0.75(3/4),0.6(2/4+votepass),0.4(2/4+votedenied),0.25(1/4)"</formula1>
    </dataValidation>
    <dataValidation type="list" allowBlank="1" showInputMessage="1" showErrorMessage="1" sqref="B3:B1048576">
      <formula1>"user,worker,tech,gov"</formula1>
    </dataValidation>
    <dataValidation type="list" allowBlank="1" showInputMessage="1" showErrorMessage="1" sqref="C3:C1048576">
      <formula1>"P.R. China,United States,European Union,Kenya"</formula1>
    </dataValidation>
    <dataValidation type="list" allowBlank="1" showInputMessage="1" showErrorMessage="1" sqref="D3:D70 D94:D1048576">
      <formula1>"DeepSeek Reasoner V3.2,OpenAI ChatGPT 5.4 Pro,Google Gemini 3.1 Pro Preview,Doubao Seed 2.0 Pro"</formula1>
    </dataValidation>
  </dataValidations>
  <pageMargins left="0.75" right="0.75" top="1" bottom="1" header="0.5" footer="0.5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7"/>
  <sheetViews>
    <sheetView zoomScale="85" zoomScaleNormal="85" topLeftCell="B1" workbookViewId="0">
      <pane ySplit="2" topLeftCell="A3" activePane="bottomLeft" state="frozen"/>
      <selection/>
      <selection pane="bottomLeft" activeCell="G89" sqref="G89:L89"/>
    </sheetView>
  </sheetViews>
  <sheetFormatPr defaultColWidth="8.61261261261261" defaultRowHeight="14.1"/>
  <cols>
    <col min="1" max="1" width="20.7117117117117" customWidth="1"/>
    <col min="2" max="2" width="11.7027027027027" customWidth="1"/>
    <col min="3" max="3" width="19.5495495495495" customWidth="1"/>
    <col min="4" max="4" width="25.1621621621622" customWidth="1"/>
    <col min="5" max="5" width="12.8558558558559" customWidth="1"/>
    <col min="6" max="6" width="30.4144144144144" customWidth="1"/>
    <col min="7" max="7" width="34.0810810810811" customWidth="1"/>
    <col min="8" max="8" width="11.7027027027027" customWidth="1"/>
    <col min="9" max="9" width="13.9369369369369" customWidth="1"/>
    <col min="10" max="10" width="11.7027027027027" customWidth="1"/>
    <col min="11" max="11" width="20.7117117117117" customWidth="1"/>
    <col min="12" max="12" width="17.3243243243243" customWidth="1"/>
  </cols>
  <sheetData>
    <row r="1" spans="1:12">
      <c r="A1" s="3" t="s">
        <v>6</v>
      </c>
      <c r="B1" s="3" t="s">
        <v>266</v>
      </c>
      <c r="C1" s="3" t="s">
        <v>267</v>
      </c>
      <c r="D1" s="3" t="s">
        <v>268</v>
      </c>
      <c r="E1" s="3" t="s">
        <v>269</v>
      </c>
      <c r="F1" s="3" t="s">
        <v>270</v>
      </c>
      <c r="G1" s="3" t="s">
        <v>271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</row>
    <row r="2" spans="1:12">
      <c r="A2" s="3" t="s">
        <v>272</v>
      </c>
      <c r="B2" s="3" t="s">
        <v>272</v>
      </c>
      <c r="C2" s="3" t="s">
        <v>272</v>
      </c>
      <c r="D2" s="3" t="s">
        <v>272</v>
      </c>
      <c r="E2" s="3" t="str">
        <f t="shared" ref="E2:E65" si="0">IF(OR(D2="Doubao Seed 2.0 Pro",D2="DeepSeek Reasoner V3.2"),"China","US")</f>
        <v>US</v>
      </c>
      <c r="F2" s="3" t="s">
        <v>272</v>
      </c>
      <c r="G2" s="3" t="s">
        <v>272</v>
      </c>
      <c r="H2" s="3" t="s">
        <v>272</v>
      </c>
      <c r="I2" s="3">
        <f ca="1">RANDBETWEEN(10000,99999)</f>
        <v>59390</v>
      </c>
      <c r="J2" s="3" t="str">
        <f ca="1">IF(MOD(I2,2)=0,"China-backup","US-backup")</f>
        <v>China-backup</v>
      </c>
      <c r="K2" s="3" t="s">
        <v>272</v>
      </c>
      <c r="L2" s="3" t="s">
        <v>272</v>
      </c>
    </row>
    <row r="3" spans="1:12">
      <c r="A3" s="3" t="str">
        <f t="shared" ref="A3:A66" si="1">C3&amp;"-"&amp;B3</f>
        <v>United States-worker</v>
      </c>
      <c r="B3" s="3" t="s">
        <v>36</v>
      </c>
      <c r="C3" s="3" t="s">
        <v>264</v>
      </c>
      <c r="D3" s="3" t="s">
        <v>273</v>
      </c>
      <c r="E3" s="3" t="str">
        <f t="shared" si="0"/>
        <v>China</v>
      </c>
      <c r="F3" s="3" t="s">
        <v>325</v>
      </c>
      <c r="G3" s="3" t="s">
        <v>122</v>
      </c>
      <c r="H3" s="4" t="s">
        <v>197</v>
      </c>
      <c r="I3" s="4"/>
      <c r="J3" s="4"/>
      <c r="K3" s="4"/>
      <c r="L3" s="4"/>
    </row>
    <row r="4" spans="1:12">
      <c r="A4" s="3" t="str">
        <f t="shared" si="1"/>
        <v>United States-worker</v>
      </c>
      <c r="B4" s="3" t="s">
        <v>36</v>
      </c>
      <c r="C4" s="3" t="s">
        <v>264</v>
      </c>
      <c r="D4" s="3" t="s">
        <v>273</v>
      </c>
      <c r="E4" s="3" t="str">
        <f t="shared" si="0"/>
        <v>China</v>
      </c>
      <c r="F4" s="3" t="s">
        <v>278</v>
      </c>
      <c r="G4" s="3" t="s">
        <v>80</v>
      </c>
      <c r="H4" s="4"/>
      <c r="I4" s="4"/>
      <c r="J4" s="4"/>
      <c r="K4" s="4"/>
      <c r="L4" s="4"/>
    </row>
    <row r="5" spans="1:12">
      <c r="A5" s="3" t="str">
        <f t="shared" si="1"/>
        <v>United States-worker</v>
      </c>
      <c r="B5" s="3" t="s">
        <v>36</v>
      </c>
      <c r="C5" s="3" t="s">
        <v>264</v>
      </c>
      <c r="D5" s="3" t="s">
        <v>273</v>
      </c>
      <c r="E5" s="3" t="str">
        <f t="shared" si="0"/>
        <v>China</v>
      </c>
      <c r="F5" s="3" t="s">
        <v>316</v>
      </c>
      <c r="G5" s="3" t="s">
        <v>100</v>
      </c>
      <c r="H5" s="4"/>
      <c r="I5" s="4"/>
      <c r="J5" s="4"/>
      <c r="K5" s="4"/>
      <c r="L5" s="4"/>
    </row>
    <row r="6" spans="1:12">
      <c r="A6" s="3" t="str">
        <f t="shared" si="1"/>
        <v>United States-worker</v>
      </c>
      <c r="B6" s="3" t="s">
        <v>36</v>
      </c>
      <c r="C6" s="3" t="s">
        <v>264</v>
      </c>
      <c r="D6" s="3" t="s">
        <v>273</v>
      </c>
      <c r="E6" s="3" t="str">
        <f t="shared" si="0"/>
        <v>China</v>
      </c>
      <c r="F6" s="3" t="s">
        <v>376</v>
      </c>
      <c r="G6" s="3" t="s">
        <v>121</v>
      </c>
      <c r="H6" s="4"/>
      <c r="I6" s="4"/>
      <c r="J6" s="4"/>
      <c r="K6" s="4"/>
      <c r="L6" s="4"/>
    </row>
    <row r="7" spans="1:12">
      <c r="A7" s="3" t="str">
        <f t="shared" si="1"/>
        <v>United States-worker</v>
      </c>
      <c r="B7" s="3" t="s">
        <v>36</v>
      </c>
      <c r="C7" s="3" t="s">
        <v>264</v>
      </c>
      <c r="D7" s="3" t="s">
        <v>273</v>
      </c>
      <c r="E7" s="3" t="str">
        <f t="shared" si="0"/>
        <v>China</v>
      </c>
      <c r="F7" s="3" t="s">
        <v>477</v>
      </c>
      <c r="G7" s="3" t="s">
        <v>71</v>
      </c>
      <c r="H7" s="4"/>
      <c r="I7" s="4"/>
      <c r="J7" s="4"/>
      <c r="K7" s="4"/>
      <c r="L7" s="4"/>
    </row>
    <row r="8" spans="1:12">
      <c r="A8" s="3" t="str">
        <f t="shared" si="1"/>
        <v>United States-worker</v>
      </c>
      <c r="B8" s="3" t="s">
        <v>36</v>
      </c>
      <c r="C8" s="3" t="s">
        <v>264</v>
      </c>
      <c r="D8" s="3" t="s">
        <v>273</v>
      </c>
      <c r="E8" s="3" t="str">
        <f t="shared" si="0"/>
        <v>China</v>
      </c>
      <c r="F8" s="3" t="s">
        <v>489</v>
      </c>
      <c r="G8" t="s">
        <v>106</v>
      </c>
      <c r="H8" s="4"/>
      <c r="I8" s="4"/>
      <c r="J8" s="4"/>
      <c r="K8" s="4"/>
      <c r="L8" s="4"/>
    </row>
    <row r="9" spans="1:12">
      <c r="A9" s="3" t="str">
        <f t="shared" si="1"/>
        <v>United States-worker</v>
      </c>
      <c r="B9" s="3" t="s">
        <v>36</v>
      </c>
      <c r="C9" s="3" t="s">
        <v>264</v>
      </c>
      <c r="D9" s="3" t="s">
        <v>273</v>
      </c>
      <c r="E9" s="3" t="str">
        <f t="shared" si="0"/>
        <v>China</v>
      </c>
      <c r="F9" s="3" t="s">
        <v>286</v>
      </c>
      <c r="G9" s="3" t="s">
        <v>124</v>
      </c>
      <c r="H9" s="4"/>
      <c r="I9" s="4"/>
      <c r="J9" s="4"/>
      <c r="K9" s="4"/>
      <c r="L9" s="4"/>
    </row>
    <row r="10" spans="1:12">
      <c r="A10" s="3" t="str">
        <f t="shared" si="1"/>
        <v>United States-worker</v>
      </c>
      <c r="B10" s="3" t="s">
        <v>36</v>
      </c>
      <c r="C10" s="3" t="s">
        <v>264</v>
      </c>
      <c r="D10" s="3" t="s">
        <v>273</v>
      </c>
      <c r="E10" s="3" t="str">
        <f t="shared" si="0"/>
        <v>China</v>
      </c>
      <c r="F10" s="3" t="s">
        <v>490</v>
      </c>
      <c r="G10" s="3" t="s">
        <v>100</v>
      </c>
      <c r="H10" s="4"/>
      <c r="I10" s="4"/>
      <c r="J10" s="4"/>
      <c r="K10" s="4"/>
      <c r="L10" s="4"/>
    </row>
    <row r="11" spans="1:12">
      <c r="A11" s="3" t="str">
        <f t="shared" si="1"/>
        <v>United States-worker</v>
      </c>
      <c r="B11" s="3" t="s">
        <v>36</v>
      </c>
      <c r="C11" s="3" t="s">
        <v>264</v>
      </c>
      <c r="D11" s="3" t="s">
        <v>273</v>
      </c>
      <c r="E11" s="3" t="str">
        <f t="shared" si="0"/>
        <v>China</v>
      </c>
      <c r="F11" s="3" t="s">
        <v>404</v>
      </c>
      <c r="G11" s="3" t="s">
        <v>121</v>
      </c>
      <c r="H11" s="4"/>
      <c r="I11" s="4"/>
      <c r="J11" s="4"/>
      <c r="K11" s="4"/>
      <c r="L11" s="4"/>
    </row>
    <row r="12" spans="1:12">
      <c r="A12" s="3" t="str">
        <f t="shared" si="1"/>
        <v>United States-worker</v>
      </c>
      <c r="B12" s="3" t="s">
        <v>36</v>
      </c>
      <c r="C12" s="3" t="s">
        <v>264</v>
      </c>
      <c r="D12" s="3" t="s">
        <v>273</v>
      </c>
      <c r="E12" s="3" t="str">
        <f t="shared" si="0"/>
        <v>China</v>
      </c>
      <c r="F12" s="3" t="s">
        <v>491</v>
      </c>
      <c r="G12" s="3" t="s">
        <v>100</v>
      </c>
      <c r="H12" s="4"/>
      <c r="I12" s="4"/>
      <c r="J12" s="4"/>
      <c r="K12" s="4"/>
      <c r="L12" s="4"/>
    </row>
    <row r="13" spans="1:12">
      <c r="A13" s="3" t="str">
        <f t="shared" si="1"/>
        <v>United States-worker</v>
      </c>
      <c r="B13" s="3" t="s">
        <v>36</v>
      </c>
      <c r="C13" s="3" t="s">
        <v>264</v>
      </c>
      <c r="D13" s="3" t="s">
        <v>273</v>
      </c>
      <c r="E13" s="3" t="str">
        <f t="shared" si="0"/>
        <v>China</v>
      </c>
      <c r="F13" s="3" t="s">
        <v>390</v>
      </c>
      <c r="G13" s="3" t="s">
        <v>124</v>
      </c>
      <c r="H13" s="4"/>
      <c r="I13" s="4"/>
      <c r="J13" s="4"/>
      <c r="K13" s="4"/>
      <c r="L13" s="4"/>
    </row>
    <row r="14" spans="1:12">
      <c r="A14" s="3" t="str">
        <f t="shared" si="1"/>
        <v>United States-worker</v>
      </c>
      <c r="B14" s="3" t="s">
        <v>36</v>
      </c>
      <c r="C14" s="3" t="s">
        <v>264</v>
      </c>
      <c r="D14" s="3" t="s">
        <v>273</v>
      </c>
      <c r="E14" s="3" t="str">
        <f t="shared" si="0"/>
        <v>China</v>
      </c>
      <c r="F14" s="3" t="s">
        <v>285</v>
      </c>
      <c r="G14" s="3" t="s">
        <v>113</v>
      </c>
      <c r="H14" s="4"/>
      <c r="I14" s="4"/>
      <c r="J14" s="4"/>
      <c r="K14" s="4"/>
      <c r="L14" s="4"/>
    </row>
    <row r="15" spans="1:12">
      <c r="A15" s="3" t="str">
        <f t="shared" si="1"/>
        <v>United States-worker</v>
      </c>
      <c r="B15" s="3" t="s">
        <v>36</v>
      </c>
      <c r="C15" s="3" t="s">
        <v>264</v>
      </c>
      <c r="D15" s="3" t="s">
        <v>273</v>
      </c>
      <c r="E15" s="3" t="str">
        <f t="shared" si="0"/>
        <v>China</v>
      </c>
      <c r="F15" s="3" t="s">
        <v>492</v>
      </c>
      <c r="G15" s="3" t="s">
        <v>105</v>
      </c>
      <c r="H15" s="4"/>
      <c r="I15" s="4"/>
      <c r="J15" s="4"/>
      <c r="K15" s="4"/>
      <c r="L15" s="4"/>
    </row>
    <row r="16" spans="1:12">
      <c r="A16" s="3" t="str">
        <f t="shared" si="1"/>
        <v>United States-worker</v>
      </c>
      <c r="B16" s="3" t="s">
        <v>36</v>
      </c>
      <c r="C16" s="3" t="s">
        <v>264</v>
      </c>
      <c r="D16" s="3" t="s">
        <v>273</v>
      </c>
      <c r="E16" s="3" t="str">
        <f t="shared" si="0"/>
        <v>China</v>
      </c>
      <c r="F16" s="3" t="s">
        <v>292</v>
      </c>
      <c r="G16" s="3" t="s">
        <v>107</v>
      </c>
      <c r="H16" s="4"/>
      <c r="I16" s="4"/>
      <c r="J16" s="4"/>
      <c r="K16" s="4"/>
      <c r="L16" s="4"/>
    </row>
    <row r="17" spans="1:12">
      <c r="A17" s="3" t="str">
        <f t="shared" si="1"/>
        <v>United States-worker</v>
      </c>
      <c r="B17" s="3" t="s">
        <v>36</v>
      </c>
      <c r="C17" s="3" t="s">
        <v>264</v>
      </c>
      <c r="D17" s="3" t="s">
        <v>273</v>
      </c>
      <c r="E17" s="3" t="str">
        <f t="shared" si="0"/>
        <v>China</v>
      </c>
      <c r="F17" s="3" t="s">
        <v>398</v>
      </c>
      <c r="G17" s="3" t="s">
        <v>94</v>
      </c>
      <c r="H17" s="4"/>
      <c r="I17" s="4"/>
      <c r="J17" s="4"/>
      <c r="K17" s="4"/>
      <c r="L17" s="4"/>
    </row>
    <row r="18" spans="1:12">
      <c r="A18" s="3" t="str">
        <f t="shared" si="1"/>
        <v>United States-worker</v>
      </c>
      <c r="B18" s="3" t="s">
        <v>36</v>
      </c>
      <c r="C18" s="3" t="s">
        <v>264</v>
      </c>
      <c r="D18" s="3" t="s">
        <v>273</v>
      </c>
      <c r="E18" s="3" t="str">
        <f t="shared" si="0"/>
        <v>China</v>
      </c>
      <c r="F18" s="3" t="s">
        <v>121</v>
      </c>
      <c r="G18" s="3" t="s">
        <v>121</v>
      </c>
      <c r="H18" s="4"/>
      <c r="I18" s="4"/>
      <c r="J18" s="4"/>
      <c r="K18" s="4"/>
      <c r="L18" s="4"/>
    </row>
    <row r="19" spans="1:12">
      <c r="A19" s="3" t="str">
        <f t="shared" si="1"/>
        <v>United States-worker</v>
      </c>
      <c r="B19" s="3" t="s">
        <v>36</v>
      </c>
      <c r="C19" s="3" t="s">
        <v>264</v>
      </c>
      <c r="D19" s="3" t="s">
        <v>297</v>
      </c>
      <c r="E19" s="3" t="str">
        <f t="shared" si="0"/>
        <v>China</v>
      </c>
      <c r="F19" s="3" t="s">
        <v>477</v>
      </c>
      <c r="G19" s="3" t="s">
        <v>71</v>
      </c>
      <c r="H19" s="4"/>
      <c r="I19" s="4"/>
      <c r="J19" s="4"/>
      <c r="K19" s="4"/>
      <c r="L19" s="4"/>
    </row>
    <row r="20" spans="1:12">
      <c r="A20" s="3" t="str">
        <f t="shared" si="1"/>
        <v>United States-worker</v>
      </c>
      <c r="B20" s="3" t="s">
        <v>36</v>
      </c>
      <c r="C20" s="3" t="s">
        <v>264</v>
      </c>
      <c r="D20" s="3" t="s">
        <v>297</v>
      </c>
      <c r="E20" s="3" t="str">
        <f t="shared" si="0"/>
        <v>China</v>
      </c>
      <c r="F20" s="3" t="s">
        <v>376</v>
      </c>
      <c r="G20" s="3" t="s">
        <v>121</v>
      </c>
      <c r="H20" s="4"/>
      <c r="I20" s="4"/>
      <c r="J20" s="4"/>
      <c r="K20" s="4"/>
      <c r="L20" s="4"/>
    </row>
    <row r="21" spans="1:12">
      <c r="A21" s="3" t="str">
        <f t="shared" si="1"/>
        <v>United States-worker</v>
      </c>
      <c r="B21" s="3" t="s">
        <v>36</v>
      </c>
      <c r="C21" s="3" t="s">
        <v>264</v>
      </c>
      <c r="D21" s="3" t="s">
        <v>297</v>
      </c>
      <c r="E21" s="3" t="str">
        <f t="shared" si="0"/>
        <v>China</v>
      </c>
      <c r="F21" s="3" t="s">
        <v>388</v>
      </c>
      <c r="G21" s="3" t="s">
        <v>121</v>
      </c>
      <c r="H21" s="4"/>
      <c r="I21" s="4"/>
      <c r="J21" s="4"/>
      <c r="K21" s="4"/>
      <c r="L21" s="4"/>
    </row>
    <row r="22" spans="1:12">
      <c r="A22" s="3" t="str">
        <f t="shared" si="1"/>
        <v>United States-worker</v>
      </c>
      <c r="B22" s="3" t="s">
        <v>36</v>
      </c>
      <c r="C22" s="3" t="s">
        <v>264</v>
      </c>
      <c r="D22" s="3" t="s">
        <v>297</v>
      </c>
      <c r="E22" s="3" t="str">
        <f t="shared" si="0"/>
        <v>China</v>
      </c>
      <c r="F22" s="3" t="s">
        <v>473</v>
      </c>
      <c r="G22" s="3" t="s">
        <v>105</v>
      </c>
      <c r="H22" s="4"/>
      <c r="I22" s="4"/>
      <c r="J22" s="4"/>
      <c r="K22" s="4"/>
      <c r="L22" s="4"/>
    </row>
    <row r="23" spans="1:12">
      <c r="A23" s="3" t="str">
        <f t="shared" si="1"/>
        <v>United States-worker</v>
      </c>
      <c r="B23" s="3" t="s">
        <v>36</v>
      </c>
      <c r="C23" s="3" t="s">
        <v>264</v>
      </c>
      <c r="D23" s="3" t="s">
        <v>297</v>
      </c>
      <c r="E23" s="3" t="str">
        <f t="shared" si="0"/>
        <v>China</v>
      </c>
      <c r="F23" s="3" t="s">
        <v>278</v>
      </c>
      <c r="G23" s="3" t="s">
        <v>80</v>
      </c>
      <c r="H23" s="4"/>
      <c r="I23" s="4"/>
      <c r="J23" s="4"/>
      <c r="K23" s="4"/>
      <c r="L23" s="4"/>
    </row>
    <row r="24" spans="1:12">
      <c r="A24" s="3" t="str">
        <f t="shared" si="1"/>
        <v>United States-worker</v>
      </c>
      <c r="B24" s="3" t="s">
        <v>36</v>
      </c>
      <c r="C24" s="3" t="s">
        <v>264</v>
      </c>
      <c r="D24" s="3" t="s">
        <v>297</v>
      </c>
      <c r="E24" s="3" t="str">
        <f t="shared" si="0"/>
        <v>China</v>
      </c>
      <c r="F24" s="3" t="s">
        <v>325</v>
      </c>
      <c r="G24" s="3" t="s">
        <v>122</v>
      </c>
      <c r="H24" s="4"/>
      <c r="I24" s="4"/>
      <c r="J24" s="4"/>
      <c r="K24" s="4"/>
      <c r="L24" s="4"/>
    </row>
    <row r="25" spans="1:12">
      <c r="A25" s="3" t="str">
        <f t="shared" si="1"/>
        <v>United States-worker</v>
      </c>
      <c r="B25" s="3" t="s">
        <v>36</v>
      </c>
      <c r="C25" s="3" t="s">
        <v>264</v>
      </c>
      <c r="D25" s="3" t="s">
        <v>297</v>
      </c>
      <c r="E25" s="3" t="str">
        <f t="shared" si="0"/>
        <v>China</v>
      </c>
      <c r="F25" s="3" t="s">
        <v>412</v>
      </c>
      <c r="G25" s="3" t="s">
        <v>58</v>
      </c>
      <c r="H25" s="4"/>
      <c r="I25" s="4"/>
      <c r="J25" s="4"/>
      <c r="K25" s="4"/>
      <c r="L25" s="4"/>
    </row>
    <row r="26" spans="1:12">
      <c r="A26" s="3" t="str">
        <f t="shared" si="1"/>
        <v>United States-worker</v>
      </c>
      <c r="B26" s="3" t="s">
        <v>36</v>
      </c>
      <c r="C26" s="3" t="s">
        <v>264</v>
      </c>
      <c r="D26" s="3" t="s">
        <v>297</v>
      </c>
      <c r="E26" s="3" t="str">
        <f t="shared" si="0"/>
        <v>China</v>
      </c>
      <c r="F26" s="3" t="s">
        <v>398</v>
      </c>
      <c r="G26" s="3" t="s">
        <v>94</v>
      </c>
      <c r="H26" s="4"/>
      <c r="I26" s="4"/>
      <c r="J26" s="4"/>
      <c r="K26" s="4"/>
      <c r="L26" s="4"/>
    </row>
    <row r="27" spans="1:12">
      <c r="A27" s="3" t="str">
        <f t="shared" si="1"/>
        <v>United States-worker</v>
      </c>
      <c r="B27" s="3" t="s">
        <v>36</v>
      </c>
      <c r="C27" s="3" t="s">
        <v>264</v>
      </c>
      <c r="D27" s="3" t="s">
        <v>297</v>
      </c>
      <c r="E27" s="3" t="str">
        <f t="shared" si="0"/>
        <v>China</v>
      </c>
      <c r="F27" s="3" t="s">
        <v>413</v>
      </c>
      <c r="G27" s="3" t="s">
        <v>224</v>
      </c>
      <c r="H27" s="4"/>
      <c r="I27" s="4"/>
      <c r="J27" s="4"/>
      <c r="K27" s="4"/>
      <c r="L27" s="4"/>
    </row>
    <row r="28" spans="1:12">
      <c r="A28" s="3" t="str">
        <f t="shared" si="1"/>
        <v>United States-worker</v>
      </c>
      <c r="B28" s="3" t="s">
        <v>36</v>
      </c>
      <c r="C28" s="3" t="s">
        <v>264</v>
      </c>
      <c r="D28" s="3" t="s">
        <v>297</v>
      </c>
      <c r="E28" s="3" t="str">
        <f t="shared" si="0"/>
        <v>China</v>
      </c>
      <c r="F28" s="3" t="s">
        <v>493</v>
      </c>
      <c r="G28" s="3" t="s">
        <v>121</v>
      </c>
      <c r="H28" s="4"/>
      <c r="I28" s="4"/>
      <c r="J28" s="4"/>
      <c r="K28" s="4"/>
      <c r="L28" s="4"/>
    </row>
    <row r="29" spans="1:12">
      <c r="A29" s="3" t="str">
        <f t="shared" si="1"/>
        <v>United States-worker</v>
      </c>
      <c r="B29" s="3" t="s">
        <v>36</v>
      </c>
      <c r="C29" s="3" t="s">
        <v>264</v>
      </c>
      <c r="D29" s="3" t="s">
        <v>297</v>
      </c>
      <c r="E29" s="3" t="str">
        <f t="shared" si="0"/>
        <v>China</v>
      </c>
      <c r="F29" s="3" t="s">
        <v>392</v>
      </c>
      <c r="G29" s="3" t="s">
        <v>113</v>
      </c>
      <c r="H29" s="4"/>
      <c r="I29" s="4"/>
      <c r="J29" s="4"/>
      <c r="K29" s="4"/>
      <c r="L29" s="4"/>
    </row>
    <row r="30" spans="1:12">
      <c r="A30" s="3" t="str">
        <f t="shared" si="1"/>
        <v>United States-worker</v>
      </c>
      <c r="B30" s="3" t="s">
        <v>36</v>
      </c>
      <c r="C30" s="3" t="s">
        <v>264</v>
      </c>
      <c r="D30" s="3" t="s">
        <v>297</v>
      </c>
      <c r="E30" s="3" t="str">
        <f t="shared" si="0"/>
        <v>China</v>
      </c>
      <c r="F30" s="3" t="s">
        <v>346</v>
      </c>
      <c r="G30" s="3" t="s">
        <v>100</v>
      </c>
      <c r="H30" s="4"/>
      <c r="I30" s="4"/>
      <c r="J30" s="4"/>
      <c r="K30" s="4"/>
      <c r="L30" s="4"/>
    </row>
    <row r="31" spans="1:12">
      <c r="A31" s="3" t="str">
        <f t="shared" si="1"/>
        <v>United States-worker</v>
      </c>
      <c r="B31" s="3" t="s">
        <v>36</v>
      </c>
      <c r="C31" s="3" t="s">
        <v>264</v>
      </c>
      <c r="D31" s="3" t="s">
        <v>297</v>
      </c>
      <c r="E31" s="3" t="str">
        <f t="shared" si="0"/>
        <v>China</v>
      </c>
      <c r="F31" s="3" t="s">
        <v>405</v>
      </c>
      <c r="G31" s="3" t="s">
        <v>66</v>
      </c>
      <c r="H31" s="4"/>
      <c r="I31" s="4"/>
      <c r="J31" s="4"/>
      <c r="K31" s="4"/>
      <c r="L31" s="4"/>
    </row>
    <row r="32" spans="1:12">
      <c r="A32" s="3" t="str">
        <f t="shared" si="1"/>
        <v>United States-worker</v>
      </c>
      <c r="B32" s="3" t="s">
        <v>36</v>
      </c>
      <c r="C32" s="3" t="s">
        <v>264</v>
      </c>
      <c r="D32" s="3" t="s">
        <v>297</v>
      </c>
      <c r="E32" s="3" t="str">
        <f t="shared" si="0"/>
        <v>China</v>
      </c>
      <c r="F32" s="3" t="s">
        <v>351</v>
      </c>
      <c r="G32" s="3" t="s">
        <v>108</v>
      </c>
      <c r="H32" s="4"/>
      <c r="I32" s="4"/>
      <c r="J32" s="4"/>
      <c r="K32" s="4"/>
      <c r="L32" s="4"/>
    </row>
    <row r="33" spans="1:12">
      <c r="A33" s="3" t="str">
        <f t="shared" si="1"/>
        <v>United States-worker</v>
      </c>
      <c r="B33" s="3" t="s">
        <v>36</v>
      </c>
      <c r="C33" s="3" t="s">
        <v>264</v>
      </c>
      <c r="D33" s="3" t="s">
        <v>297</v>
      </c>
      <c r="E33" s="3" t="str">
        <f t="shared" si="0"/>
        <v>China</v>
      </c>
      <c r="F33" s="3" t="s">
        <v>406</v>
      </c>
      <c r="G33" s="3" t="s">
        <v>100</v>
      </c>
      <c r="H33" s="4"/>
      <c r="I33" s="4"/>
      <c r="J33" s="4"/>
      <c r="K33" s="4"/>
      <c r="L33" s="4"/>
    </row>
    <row r="34" spans="1:12">
      <c r="A34" s="3" t="str">
        <f t="shared" si="1"/>
        <v>United States-worker</v>
      </c>
      <c r="B34" s="3" t="s">
        <v>36</v>
      </c>
      <c r="C34" s="3" t="s">
        <v>264</v>
      </c>
      <c r="D34" s="3" t="s">
        <v>314</v>
      </c>
      <c r="E34" s="3" t="str">
        <f t="shared" si="0"/>
        <v>US</v>
      </c>
      <c r="F34" s="3" t="s">
        <v>351</v>
      </c>
      <c r="G34" s="3" t="s">
        <v>108</v>
      </c>
      <c r="H34" s="4"/>
      <c r="I34" s="4"/>
      <c r="J34" s="4"/>
      <c r="K34" s="4"/>
      <c r="L34" s="4"/>
    </row>
    <row r="35" spans="1:12">
      <c r="A35" s="3" t="str">
        <f t="shared" si="1"/>
        <v>United States-worker</v>
      </c>
      <c r="B35" s="3" t="s">
        <v>36</v>
      </c>
      <c r="C35" s="3" t="s">
        <v>264</v>
      </c>
      <c r="D35" s="3" t="s">
        <v>314</v>
      </c>
      <c r="E35" s="3" t="str">
        <f t="shared" si="0"/>
        <v>US</v>
      </c>
      <c r="F35" s="3" t="s">
        <v>325</v>
      </c>
      <c r="G35" s="3" t="s">
        <v>122</v>
      </c>
      <c r="H35" s="4"/>
      <c r="I35" s="4"/>
      <c r="J35" s="4"/>
      <c r="K35" s="4"/>
      <c r="L35" s="4"/>
    </row>
    <row r="36" spans="1:12">
      <c r="A36" s="3" t="str">
        <f t="shared" si="1"/>
        <v>United States-worker</v>
      </c>
      <c r="B36" s="3" t="s">
        <v>36</v>
      </c>
      <c r="C36" s="3" t="s">
        <v>264</v>
      </c>
      <c r="D36" s="3" t="s">
        <v>314</v>
      </c>
      <c r="E36" s="3" t="str">
        <f t="shared" si="0"/>
        <v>US</v>
      </c>
      <c r="F36" s="3" t="s">
        <v>376</v>
      </c>
      <c r="G36" s="3" t="s">
        <v>121</v>
      </c>
      <c r="H36" s="4"/>
      <c r="I36" s="4"/>
      <c r="J36" s="4"/>
      <c r="K36" s="4"/>
      <c r="L36" s="4"/>
    </row>
    <row r="37" spans="1:12">
      <c r="A37" s="3" t="str">
        <f t="shared" si="1"/>
        <v>United States-worker</v>
      </c>
      <c r="B37" s="3" t="s">
        <v>36</v>
      </c>
      <c r="C37" s="3" t="s">
        <v>264</v>
      </c>
      <c r="D37" s="3" t="s">
        <v>314</v>
      </c>
      <c r="E37" s="3" t="str">
        <f t="shared" si="0"/>
        <v>US</v>
      </c>
      <c r="F37" s="3" t="s">
        <v>346</v>
      </c>
      <c r="G37" s="3" t="s">
        <v>100</v>
      </c>
      <c r="H37" s="4"/>
      <c r="I37" s="4"/>
      <c r="J37" s="4"/>
      <c r="K37" s="4"/>
      <c r="L37" s="4"/>
    </row>
    <row r="38" spans="1:12">
      <c r="A38" s="3" t="str">
        <f t="shared" si="1"/>
        <v>United States-worker</v>
      </c>
      <c r="B38" s="3" t="s">
        <v>36</v>
      </c>
      <c r="C38" s="3" t="s">
        <v>264</v>
      </c>
      <c r="D38" s="3" t="s">
        <v>314</v>
      </c>
      <c r="E38" s="3" t="str">
        <f t="shared" si="0"/>
        <v>US</v>
      </c>
      <c r="F38" s="3" t="s">
        <v>477</v>
      </c>
      <c r="G38" s="3" t="s">
        <v>71</v>
      </c>
      <c r="H38" s="4"/>
      <c r="I38" s="4"/>
      <c r="J38" s="4"/>
      <c r="K38" s="4"/>
      <c r="L38" s="4"/>
    </row>
    <row r="39" spans="1:12">
      <c r="A39" s="3" t="str">
        <f t="shared" si="1"/>
        <v>United States-worker</v>
      </c>
      <c r="B39" s="3" t="s">
        <v>36</v>
      </c>
      <c r="C39" s="3" t="s">
        <v>264</v>
      </c>
      <c r="D39" s="3" t="s">
        <v>314</v>
      </c>
      <c r="E39" s="3" t="str">
        <f t="shared" si="0"/>
        <v>US</v>
      </c>
      <c r="F39" s="3" t="s">
        <v>476</v>
      </c>
      <c r="G39" s="3" t="s">
        <v>130</v>
      </c>
      <c r="H39" s="4"/>
      <c r="I39" s="4"/>
      <c r="J39" s="4"/>
      <c r="K39" s="4"/>
      <c r="L39" s="4"/>
    </row>
    <row r="40" spans="1:12">
      <c r="A40" s="3" t="str">
        <f t="shared" si="1"/>
        <v>United States-worker</v>
      </c>
      <c r="B40" s="3" t="s">
        <v>36</v>
      </c>
      <c r="C40" s="3" t="s">
        <v>264</v>
      </c>
      <c r="D40" s="3" t="s">
        <v>314</v>
      </c>
      <c r="E40" s="3" t="str">
        <f t="shared" si="0"/>
        <v>US</v>
      </c>
      <c r="F40" s="3" t="s">
        <v>463</v>
      </c>
      <c r="G40" s="3" t="s">
        <v>130</v>
      </c>
      <c r="H40" s="4"/>
      <c r="I40" s="4"/>
      <c r="J40" s="4"/>
      <c r="K40" s="4"/>
      <c r="L40" s="4"/>
    </row>
    <row r="41" spans="1:12">
      <c r="A41" s="3" t="str">
        <f t="shared" si="1"/>
        <v>United States-worker</v>
      </c>
      <c r="B41" s="3" t="s">
        <v>36</v>
      </c>
      <c r="C41" s="3" t="s">
        <v>264</v>
      </c>
      <c r="D41" s="3" t="s">
        <v>314</v>
      </c>
      <c r="E41" s="3" t="str">
        <f t="shared" si="0"/>
        <v>US</v>
      </c>
      <c r="F41" s="3" t="s">
        <v>278</v>
      </c>
      <c r="G41" s="3" t="s">
        <v>80</v>
      </c>
      <c r="H41" s="4"/>
      <c r="I41" s="4"/>
      <c r="J41" s="4"/>
      <c r="K41" s="4"/>
      <c r="L41" s="4"/>
    </row>
    <row r="42" spans="1:12">
      <c r="A42" s="3" t="str">
        <f t="shared" si="1"/>
        <v>United States-worker</v>
      </c>
      <c r="B42" s="3" t="s">
        <v>36</v>
      </c>
      <c r="C42" s="3" t="s">
        <v>264</v>
      </c>
      <c r="D42" s="3" t="s">
        <v>314</v>
      </c>
      <c r="E42" s="3" t="str">
        <f t="shared" si="0"/>
        <v>US</v>
      </c>
      <c r="F42" s="3" t="s">
        <v>478</v>
      </c>
      <c r="G42" s="3" t="s">
        <v>244</v>
      </c>
      <c r="H42" s="4"/>
      <c r="I42" s="4"/>
      <c r="J42" s="4"/>
      <c r="K42" s="4"/>
      <c r="L42" s="4"/>
    </row>
    <row r="43" spans="1:12">
      <c r="A43" s="3" t="str">
        <f t="shared" si="1"/>
        <v>United States-worker</v>
      </c>
      <c r="B43" s="3" t="s">
        <v>36</v>
      </c>
      <c r="C43" s="3" t="s">
        <v>264</v>
      </c>
      <c r="D43" s="3" t="s">
        <v>314</v>
      </c>
      <c r="E43" s="3" t="str">
        <f t="shared" si="0"/>
        <v>US</v>
      </c>
      <c r="F43" s="3" t="s">
        <v>364</v>
      </c>
      <c r="G43" s="3" t="s">
        <v>113</v>
      </c>
      <c r="H43" s="4"/>
      <c r="I43" s="4"/>
      <c r="J43" s="4"/>
      <c r="K43" s="4"/>
      <c r="L43" s="4"/>
    </row>
    <row r="44" spans="1:12">
      <c r="A44" s="3" t="str">
        <f t="shared" si="1"/>
        <v>United States-worker</v>
      </c>
      <c r="B44" s="3" t="s">
        <v>36</v>
      </c>
      <c r="C44" s="3" t="s">
        <v>264</v>
      </c>
      <c r="D44" s="3" t="s">
        <v>314</v>
      </c>
      <c r="E44" s="3" t="str">
        <f t="shared" si="0"/>
        <v>US</v>
      </c>
      <c r="F44" s="3" t="s">
        <v>384</v>
      </c>
      <c r="G44" s="3" t="s">
        <v>127</v>
      </c>
      <c r="H44" s="4"/>
      <c r="I44" s="4"/>
      <c r="J44" s="4"/>
      <c r="K44" s="4"/>
      <c r="L44" s="4"/>
    </row>
    <row r="45" spans="1:12">
      <c r="A45" s="3" t="str">
        <f t="shared" si="1"/>
        <v>United States-worker</v>
      </c>
      <c r="B45" s="3" t="s">
        <v>36</v>
      </c>
      <c r="C45" s="3" t="s">
        <v>264</v>
      </c>
      <c r="D45" s="3" t="s">
        <v>329</v>
      </c>
      <c r="E45" s="3" t="str">
        <f t="shared" si="0"/>
        <v>US</v>
      </c>
      <c r="F45" s="3" t="s">
        <v>376</v>
      </c>
      <c r="G45" s="3" t="s">
        <v>121</v>
      </c>
      <c r="H45" s="4"/>
      <c r="I45" s="4"/>
      <c r="J45" s="4"/>
      <c r="K45" s="4"/>
      <c r="L45" s="4"/>
    </row>
    <row r="46" spans="1:12">
      <c r="A46" s="3" t="str">
        <f t="shared" si="1"/>
        <v>United States-worker</v>
      </c>
      <c r="B46" s="3" t="s">
        <v>36</v>
      </c>
      <c r="C46" s="3" t="s">
        <v>264</v>
      </c>
      <c r="D46" s="3" t="s">
        <v>329</v>
      </c>
      <c r="E46" s="3" t="str">
        <f t="shared" si="0"/>
        <v>US</v>
      </c>
      <c r="F46" s="3" t="s">
        <v>384</v>
      </c>
      <c r="G46" s="3" t="s">
        <v>127</v>
      </c>
      <c r="H46" s="4"/>
      <c r="I46" s="4"/>
      <c r="J46" s="4"/>
      <c r="K46" s="4"/>
      <c r="L46" s="4"/>
    </row>
    <row r="47" spans="1:12">
      <c r="A47" s="3" t="str">
        <f t="shared" si="1"/>
        <v>United States-worker</v>
      </c>
      <c r="B47" s="3" t="s">
        <v>36</v>
      </c>
      <c r="C47" s="3" t="s">
        <v>264</v>
      </c>
      <c r="D47" s="3" t="s">
        <v>329</v>
      </c>
      <c r="E47" s="3" t="str">
        <f t="shared" si="0"/>
        <v>US</v>
      </c>
      <c r="F47" s="3" t="s">
        <v>325</v>
      </c>
      <c r="G47" s="3" t="s">
        <v>122</v>
      </c>
      <c r="H47" s="4"/>
      <c r="I47" s="4"/>
      <c r="J47" s="4"/>
      <c r="K47" s="4"/>
      <c r="L47" s="4"/>
    </row>
    <row r="48" spans="1:12">
      <c r="A48" s="3" t="str">
        <f t="shared" si="1"/>
        <v>United States-worker</v>
      </c>
      <c r="B48" s="3" t="s">
        <v>36</v>
      </c>
      <c r="C48" s="3" t="s">
        <v>264</v>
      </c>
      <c r="D48" s="3" t="s">
        <v>329</v>
      </c>
      <c r="E48" s="3" t="str">
        <f t="shared" si="0"/>
        <v>US</v>
      </c>
      <c r="F48" s="3" t="s">
        <v>278</v>
      </c>
      <c r="G48" s="3" t="s">
        <v>80</v>
      </c>
      <c r="H48" s="4"/>
      <c r="I48" s="4"/>
      <c r="J48" s="4"/>
      <c r="K48" s="4"/>
      <c r="L48" s="4"/>
    </row>
    <row r="49" spans="1:12">
      <c r="A49" s="3" t="str">
        <f t="shared" si="1"/>
        <v>United States-worker</v>
      </c>
      <c r="B49" s="3" t="s">
        <v>36</v>
      </c>
      <c r="C49" s="3" t="s">
        <v>264</v>
      </c>
      <c r="D49" s="3" t="s">
        <v>329</v>
      </c>
      <c r="E49" s="3" t="str">
        <f t="shared" si="0"/>
        <v>US</v>
      </c>
      <c r="F49" s="3" t="s">
        <v>392</v>
      </c>
      <c r="G49" s="3" t="s">
        <v>113</v>
      </c>
      <c r="H49" s="4"/>
      <c r="I49" s="4"/>
      <c r="J49" s="4"/>
      <c r="K49" s="4"/>
      <c r="L49" s="4"/>
    </row>
    <row r="50" spans="1:12">
      <c r="A50" s="3" t="str">
        <f t="shared" si="1"/>
        <v>United States-worker</v>
      </c>
      <c r="B50" s="3" t="s">
        <v>36</v>
      </c>
      <c r="C50" s="3" t="s">
        <v>264</v>
      </c>
      <c r="D50" s="3" t="s">
        <v>329</v>
      </c>
      <c r="E50" s="3" t="str">
        <f t="shared" si="0"/>
        <v>US</v>
      </c>
      <c r="F50" s="3" t="s">
        <v>361</v>
      </c>
      <c r="G50" s="3" t="s">
        <v>113</v>
      </c>
      <c r="H50" s="4"/>
      <c r="I50" s="4"/>
      <c r="J50" s="4"/>
      <c r="K50" s="4"/>
      <c r="L50" s="4"/>
    </row>
    <row r="51" spans="1:12">
      <c r="A51" s="3" t="str">
        <f t="shared" si="1"/>
        <v>United States-worker</v>
      </c>
      <c r="B51" s="3" t="s">
        <v>36</v>
      </c>
      <c r="C51" s="3" t="s">
        <v>264</v>
      </c>
      <c r="D51" s="3" t="s">
        <v>329</v>
      </c>
      <c r="E51" s="3" t="str">
        <f t="shared" si="0"/>
        <v>US</v>
      </c>
      <c r="F51" s="3" t="s">
        <v>330</v>
      </c>
      <c r="G51" s="3" t="s">
        <v>108</v>
      </c>
      <c r="H51" s="4"/>
      <c r="I51" s="4"/>
      <c r="J51" s="4"/>
      <c r="K51" s="4"/>
      <c r="L51" s="4"/>
    </row>
    <row r="52" spans="1:12">
      <c r="A52" s="3" t="str">
        <f t="shared" si="1"/>
        <v>United States-worker</v>
      </c>
      <c r="B52" s="3" t="s">
        <v>36</v>
      </c>
      <c r="C52" s="3" t="s">
        <v>264</v>
      </c>
      <c r="D52" s="3" t="s">
        <v>329</v>
      </c>
      <c r="E52" s="3" t="str">
        <f t="shared" si="0"/>
        <v>US</v>
      </c>
      <c r="F52" s="3" t="s">
        <v>398</v>
      </c>
      <c r="G52" s="3" t="s">
        <v>94</v>
      </c>
      <c r="H52" s="4"/>
      <c r="I52" s="4"/>
      <c r="J52" s="4"/>
      <c r="K52" s="4"/>
      <c r="L52" s="4"/>
    </row>
    <row r="53" spans="1:12">
      <c r="A53" s="3" t="str">
        <f t="shared" si="1"/>
        <v>United States-worker</v>
      </c>
      <c r="B53" s="3" t="s">
        <v>36</v>
      </c>
      <c r="C53" s="3" t="s">
        <v>264</v>
      </c>
      <c r="D53" s="3" t="s">
        <v>329</v>
      </c>
      <c r="E53" s="3" t="str">
        <f t="shared" si="0"/>
        <v>US</v>
      </c>
      <c r="F53" s="3" t="s">
        <v>279</v>
      </c>
      <c r="G53" s="3" t="s">
        <v>108</v>
      </c>
      <c r="H53" s="4"/>
      <c r="I53" s="4"/>
      <c r="J53" s="4"/>
      <c r="K53" s="4"/>
      <c r="L53" s="4"/>
    </row>
    <row r="54" spans="1:12">
      <c r="A54" s="3" t="str">
        <f t="shared" si="1"/>
        <v>United States-worker</v>
      </c>
      <c r="B54" s="3" t="s">
        <v>36</v>
      </c>
      <c r="C54" s="3" t="s">
        <v>264</v>
      </c>
      <c r="D54" s="3" t="s">
        <v>329</v>
      </c>
      <c r="E54" s="3" t="str">
        <f t="shared" si="0"/>
        <v>US</v>
      </c>
      <c r="F54" s="3" t="s">
        <v>399</v>
      </c>
      <c r="G54" s="3" t="s">
        <v>211</v>
      </c>
      <c r="H54" s="4"/>
      <c r="I54" s="4"/>
      <c r="J54" s="4"/>
      <c r="K54" s="4"/>
      <c r="L54" s="4"/>
    </row>
    <row r="55" spans="1:12">
      <c r="A55" s="3" t="str">
        <f t="shared" si="1"/>
        <v>United States-worker</v>
      </c>
      <c r="B55" s="3" t="s">
        <v>36</v>
      </c>
      <c r="C55" s="3" t="s">
        <v>264</v>
      </c>
      <c r="D55" s="3" t="s">
        <v>329</v>
      </c>
      <c r="E55" s="3" t="str">
        <f t="shared" si="0"/>
        <v>US</v>
      </c>
      <c r="F55" s="3" t="s">
        <v>412</v>
      </c>
      <c r="G55" s="3" t="s">
        <v>58</v>
      </c>
      <c r="H55" s="4"/>
      <c r="I55" s="4"/>
      <c r="J55" s="4"/>
      <c r="K55" s="4"/>
      <c r="L55" s="4"/>
    </row>
    <row r="56" spans="1:12">
      <c r="A56" s="3" t="str">
        <f t="shared" si="1"/>
        <v>United States-worker</v>
      </c>
      <c r="B56" s="3" t="s">
        <v>36</v>
      </c>
      <c r="C56" s="3" t="s">
        <v>264</v>
      </c>
      <c r="D56" s="3" t="s">
        <v>329</v>
      </c>
      <c r="E56" s="3" t="str">
        <f t="shared" si="0"/>
        <v>US</v>
      </c>
      <c r="F56" s="3" t="s">
        <v>411</v>
      </c>
      <c r="G56" s="3" t="s">
        <v>58</v>
      </c>
      <c r="H56" s="4"/>
      <c r="I56" s="4"/>
      <c r="J56" s="4"/>
      <c r="K56" s="4"/>
      <c r="L56" s="4"/>
    </row>
    <row r="57" spans="1:12">
      <c r="A57" s="3" t="str">
        <f t="shared" si="1"/>
        <v>United States-worker</v>
      </c>
      <c r="B57" s="3" t="s">
        <v>36</v>
      </c>
      <c r="C57" s="3" t="s">
        <v>264</v>
      </c>
      <c r="D57" s="3" t="s">
        <v>329</v>
      </c>
      <c r="E57" s="3" t="str">
        <f t="shared" si="0"/>
        <v>US</v>
      </c>
      <c r="F57" s="3" t="s">
        <v>389</v>
      </c>
      <c r="G57" s="3" t="s">
        <v>124</v>
      </c>
      <c r="H57" s="4"/>
      <c r="I57" s="4"/>
      <c r="J57" s="4"/>
      <c r="K57" s="4"/>
      <c r="L57" s="4"/>
    </row>
    <row r="58" spans="1:12">
      <c r="A58" s="3" t="str">
        <f t="shared" si="1"/>
        <v>United States-worker</v>
      </c>
      <c r="B58" s="3" t="s">
        <v>36</v>
      </c>
      <c r="C58" s="3" t="s">
        <v>264</v>
      </c>
      <c r="D58" s="3" t="s">
        <v>329</v>
      </c>
      <c r="E58" s="3" t="str">
        <f t="shared" si="0"/>
        <v>US</v>
      </c>
      <c r="F58" s="3" t="s">
        <v>121</v>
      </c>
      <c r="G58" s="3" t="s">
        <v>121</v>
      </c>
      <c r="H58" s="4"/>
      <c r="I58" s="4"/>
      <c r="J58" s="4"/>
      <c r="K58" s="4"/>
      <c r="L58" s="4"/>
    </row>
    <row r="59" spans="1:12">
      <c r="A59" s="3" t="str">
        <f t="shared" si="1"/>
        <v>United States-worker</v>
      </c>
      <c r="B59" s="3" t="s">
        <v>36</v>
      </c>
      <c r="C59" s="3" t="s">
        <v>264</v>
      </c>
      <c r="D59" s="3" t="s">
        <v>329</v>
      </c>
      <c r="E59" s="3" t="str">
        <f t="shared" si="0"/>
        <v>US</v>
      </c>
      <c r="F59" s="3" t="s">
        <v>494</v>
      </c>
      <c r="G59" s="3" t="s">
        <v>113</v>
      </c>
      <c r="H59" s="4"/>
      <c r="I59" s="4"/>
      <c r="J59" s="4"/>
      <c r="K59" s="4"/>
      <c r="L59" s="4"/>
    </row>
    <row r="60" spans="1:12">
      <c r="A60" s="3" t="str">
        <f t="shared" si="1"/>
        <v>United States-worker</v>
      </c>
      <c r="B60" s="3" t="s">
        <v>36</v>
      </c>
      <c r="C60" s="3" t="s">
        <v>264</v>
      </c>
      <c r="D60" s="3" t="s">
        <v>329</v>
      </c>
      <c r="E60" s="3" t="str">
        <f t="shared" si="0"/>
        <v>US</v>
      </c>
      <c r="F60" s="3" t="s">
        <v>473</v>
      </c>
      <c r="G60" s="3" t="s">
        <v>105</v>
      </c>
      <c r="H60" s="4"/>
      <c r="I60" s="4"/>
      <c r="J60" s="4"/>
      <c r="K60" s="4"/>
      <c r="L60" s="4"/>
    </row>
    <row r="61" spans="1:12">
      <c r="A61" s="3" t="str">
        <f t="shared" si="1"/>
        <v>United States-worker</v>
      </c>
      <c r="B61" s="3" t="s">
        <v>36</v>
      </c>
      <c r="C61" s="3" t="s">
        <v>264</v>
      </c>
      <c r="D61" s="3" t="s">
        <v>329</v>
      </c>
      <c r="E61" s="3" t="str">
        <f t="shared" si="0"/>
        <v>US</v>
      </c>
      <c r="F61" s="3" t="s">
        <v>390</v>
      </c>
      <c r="G61" s="3" t="s">
        <v>124</v>
      </c>
      <c r="H61" s="4"/>
      <c r="I61" s="4"/>
      <c r="J61" s="4"/>
      <c r="K61" s="4"/>
      <c r="L61" s="4"/>
    </row>
    <row r="62" spans="1:12">
      <c r="A62" s="3" t="str">
        <f t="shared" si="1"/>
        <v>United States-worker</v>
      </c>
      <c r="B62" s="3" t="s">
        <v>36</v>
      </c>
      <c r="C62" s="3" t="s">
        <v>264</v>
      </c>
      <c r="D62" s="3" t="s">
        <v>329</v>
      </c>
      <c r="E62" s="3" t="str">
        <f t="shared" si="0"/>
        <v>US</v>
      </c>
      <c r="F62" s="3" t="s">
        <v>415</v>
      </c>
      <c r="G62" s="3" t="s">
        <v>117</v>
      </c>
      <c r="H62" s="4"/>
      <c r="I62" s="4"/>
      <c r="J62" s="4"/>
      <c r="K62" s="4"/>
      <c r="L62" s="4"/>
    </row>
    <row r="63" spans="1:12">
      <c r="A63" s="3" t="str">
        <f t="shared" si="1"/>
        <v>United States-worker</v>
      </c>
      <c r="B63" s="3" t="s">
        <v>36</v>
      </c>
      <c r="C63" s="3" t="s">
        <v>264</v>
      </c>
      <c r="D63" s="3" t="s">
        <v>329</v>
      </c>
      <c r="E63" s="3" t="str">
        <f t="shared" si="0"/>
        <v>US</v>
      </c>
      <c r="F63" s="3" t="s">
        <v>397</v>
      </c>
      <c r="G63" s="3" t="s">
        <v>58</v>
      </c>
      <c r="H63" s="4"/>
      <c r="I63" s="4"/>
      <c r="J63" s="4"/>
      <c r="K63" s="4"/>
      <c r="L63" s="4"/>
    </row>
    <row r="64" spans="1:12">
      <c r="A64" s="3" t="str">
        <f t="shared" si="1"/>
        <v>United States-worker</v>
      </c>
      <c r="B64" s="3" t="s">
        <v>36</v>
      </c>
      <c r="C64" s="3" t="s">
        <v>264</v>
      </c>
      <c r="D64" s="3" t="s">
        <v>329</v>
      </c>
      <c r="E64" s="3" t="str">
        <f t="shared" si="0"/>
        <v>US</v>
      </c>
      <c r="F64" s="3" t="s">
        <v>413</v>
      </c>
      <c r="G64" s="3" t="s">
        <v>224</v>
      </c>
      <c r="H64" s="4"/>
      <c r="I64" s="4"/>
      <c r="J64" s="4"/>
      <c r="K64" s="4"/>
      <c r="L64" s="4"/>
    </row>
    <row r="65" spans="1:12">
      <c r="A65" s="3" t="str">
        <f t="shared" si="1"/>
        <v>United States-worker</v>
      </c>
      <c r="B65" s="3" t="s">
        <v>36</v>
      </c>
      <c r="C65" s="3" t="s">
        <v>264</v>
      </c>
      <c r="D65" s="3" t="s">
        <v>329</v>
      </c>
      <c r="E65" s="3" t="str">
        <f t="shared" si="0"/>
        <v>US</v>
      </c>
      <c r="F65" s="3" t="s">
        <v>493</v>
      </c>
      <c r="G65" s="3" t="s">
        <v>121</v>
      </c>
      <c r="H65" s="4"/>
      <c r="I65" s="4"/>
      <c r="J65" s="4"/>
      <c r="K65" s="4"/>
      <c r="L65" s="4"/>
    </row>
    <row r="66" spans="1:12">
      <c r="A66" s="3" t="str">
        <f t="shared" si="1"/>
        <v>United States-worker</v>
      </c>
      <c r="B66" s="3" t="s">
        <v>36</v>
      </c>
      <c r="C66" s="3" t="s">
        <v>264</v>
      </c>
      <c r="D66" s="3" t="s">
        <v>329</v>
      </c>
      <c r="E66" s="3" t="str">
        <f>IF(OR(D66="Doubao Seed 2.0 Pro",D66="DeepSeek Reasoner V3.2"),"China","US")</f>
        <v>US</v>
      </c>
      <c r="F66" s="3" t="s">
        <v>404</v>
      </c>
      <c r="G66" s="3" t="s">
        <v>121</v>
      </c>
      <c r="H66" s="4"/>
      <c r="I66" s="4"/>
      <c r="J66" s="4"/>
      <c r="K66" s="4"/>
      <c r="L66" s="4"/>
    </row>
    <row r="67" spans="1:12">
      <c r="A67" s="3" t="str">
        <f>C67&amp;"-"&amp;B67</f>
        <v>United States-worker</v>
      </c>
      <c r="B67" s="3" t="s">
        <v>36</v>
      </c>
      <c r="C67" s="3" t="s">
        <v>264</v>
      </c>
      <c r="D67" s="3" t="s">
        <v>329</v>
      </c>
      <c r="E67" s="3" t="str">
        <f>IF(OR(D67="Doubao Seed 2.0 Pro",D67="DeepSeek Reasoner V3.2"),"China","US")</f>
        <v>US</v>
      </c>
      <c r="F67" s="3" t="s">
        <v>363</v>
      </c>
      <c r="G67" s="3" t="s">
        <v>121</v>
      </c>
      <c r="H67" s="4"/>
      <c r="I67" s="4"/>
      <c r="J67" s="4"/>
      <c r="K67" s="4"/>
      <c r="L67" s="4"/>
    </row>
    <row r="68" spans="1:12">
      <c r="A68" s="4" t="s">
        <v>419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3" t="str">
        <f t="shared" ref="A71:A96" si="2">C71&amp;"-"&amp;B71</f>
        <v>United States-worker</v>
      </c>
      <c r="B71" s="3" t="s">
        <v>36</v>
      </c>
      <c r="C71" s="3" t="s">
        <v>264</v>
      </c>
      <c r="D71" s="4" t="s">
        <v>197</v>
      </c>
      <c r="E71" s="4"/>
      <c r="F71" s="4"/>
      <c r="G71" s="12" t="s">
        <v>58</v>
      </c>
      <c r="H71" s="12" t="s">
        <v>217</v>
      </c>
      <c r="I71" s="3">
        <v>14403</v>
      </c>
      <c r="J71" s="3" t="s">
        <v>32</v>
      </c>
      <c r="K71" s="3"/>
      <c r="L71" s="3"/>
    </row>
    <row r="72" spans="1:12">
      <c r="A72" s="3" t="str">
        <f t="shared" si="2"/>
        <v>United States-worker</v>
      </c>
      <c r="B72" s="3" t="s">
        <v>36</v>
      </c>
      <c r="C72" s="3" t="s">
        <v>264</v>
      </c>
      <c r="D72" s="4"/>
      <c r="E72" s="4"/>
      <c r="F72" s="4"/>
      <c r="G72" s="3" t="s">
        <v>66</v>
      </c>
      <c r="H72" s="8">
        <v>1</v>
      </c>
      <c r="I72" s="3"/>
      <c r="J72" s="3"/>
      <c r="K72" s="3" t="s">
        <v>199</v>
      </c>
      <c r="L72" s="3" t="s">
        <v>200</v>
      </c>
    </row>
    <row r="73" spans="1:12">
      <c r="A73" s="3" t="str">
        <f t="shared" si="2"/>
        <v>United States-worker</v>
      </c>
      <c r="B73" s="3" t="s">
        <v>36</v>
      </c>
      <c r="C73" s="3" t="s">
        <v>264</v>
      </c>
      <c r="D73" s="4"/>
      <c r="E73" s="4"/>
      <c r="F73" s="4"/>
      <c r="G73" s="3" t="s">
        <v>71</v>
      </c>
      <c r="H73" s="8">
        <v>1</v>
      </c>
      <c r="I73" s="3"/>
      <c r="J73" s="3"/>
      <c r="K73" s="3" t="s">
        <v>24</v>
      </c>
      <c r="L73" s="3" t="s">
        <v>55</v>
      </c>
    </row>
    <row r="74" spans="1:12">
      <c r="A74" s="3" t="str">
        <f t="shared" si="2"/>
        <v>United States-worker</v>
      </c>
      <c r="B74" s="3" t="s">
        <v>36</v>
      </c>
      <c r="C74" s="3" t="s">
        <v>264</v>
      </c>
      <c r="D74" s="4"/>
      <c r="E74" s="4"/>
      <c r="F74" s="4"/>
      <c r="G74" s="3" t="s">
        <v>211</v>
      </c>
      <c r="H74" s="8">
        <v>1</v>
      </c>
      <c r="I74" s="3"/>
      <c r="J74" s="3"/>
      <c r="K74" s="3" t="s">
        <v>199</v>
      </c>
      <c r="L74" s="3" t="s">
        <v>200</v>
      </c>
    </row>
    <row r="75" spans="1:12">
      <c r="A75" s="3" t="str">
        <f t="shared" si="2"/>
        <v>United States-worker</v>
      </c>
      <c r="B75" s="3" t="s">
        <v>36</v>
      </c>
      <c r="C75" s="3" t="s">
        <v>264</v>
      </c>
      <c r="D75" s="4"/>
      <c r="E75" s="4"/>
      <c r="F75" s="4"/>
      <c r="G75" s="3" t="s">
        <v>80</v>
      </c>
      <c r="H75" s="8">
        <v>1</v>
      </c>
      <c r="I75" s="3"/>
      <c r="J75" s="3"/>
      <c r="K75" s="3" t="s">
        <v>24</v>
      </c>
      <c r="L75" s="3" t="s">
        <v>25</v>
      </c>
    </row>
    <row r="76" spans="1:12">
      <c r="A76" s="3" t="str">
        <f t="shared" si="2"/>
        <v>United States-worker</v>
      </c>
      <c r="B76" s="3" t="s">
        <v>36</v>
      </c>
      <c r="C76" s="3" t="s">
        <v>264</v>
      </c>
      <c r="D76" s="4"/>
      <c r="E76" s="4"/>
      <c r="F76" s="4"/>
      <c r="G76" s="3" t="s">
        <v>224</v>
      </c>
      <c r="H76" s="8" t="s">
        <v>217</v>
      </c>
      <c r="I76" s="3">
        <v>70899</v>
      </c>
      <c r="J76" s="3" t="s">
        <v>32</v>
      </c>
      <c r="K76" s="3"/>
      <c r="L76" s="3"/>
    </row>
    <row r="77" spans="1:12">
      <c r="A77" s="3" t="str">
        <f t="shared" si="2"/>
        <v>United States-worker</v>
      </c>
      <c r="B77" s="3" t="s">
        <v>36</v>
      </c>
      <c r="C77" s="3" t="s">
        <v>264</v>
      </c>
      <c r="D77" s="4"/>
      <c r="E77" s="4"/>
      <c r="F77" s="4"/>
      <c r="G77" s="3" t="s">
        <v>94</v>
      </c>
      <c r="H77" s="8">
        <v>1</v>
      </c>
      <c r="I77" s="3"/>
      <c r="J77" s="3"/>
      <c r="K77" s="3" t="s">
        <v>24</v>
      </c>
      <c r="L77" s="3" t="s">
        <v>55</v>
      </c>
    </row>
    <row r="78" spans="1:12">
      <c r="A78" s="3" t="str">
        <f t="shared" si="2"/>
        <v>United States-worker</v>
      </c>
      <c r="B78" s="3" t="s">
        <v>36</v>
      </c>
      <c r="C78" s="3" t="s">
        <v>264</v>
      </c>
      <c r="D78" s="4"/>
      <c r="E78" s="4"/>
      <c r="F78" s="4"/>
      <c r="G78" s="3" t="s">
        <v>100</v>
      </c>
      <c r="H78" s="8">
        <v>1</v>
      </c>
      <c r="I78" s="3"/>
      <c r="J78" s="3"/>
      <c r="K78" s="3" t="s">
        <v>24</v>
      </c>
      <c r="L78" s="3" t="s">
        <v>55</v>
      </c>
    </row>
    <row r="79" spans="1:12">
      <c r="A79" s="3" t="str">
        <f t="shared" si="2"/>
        <v>United States-worker</v>
      </c>
      <c r="B79" s="3" t="s">
        <v>36</v>
      </c>
      <c r="C79" s="3" t="s">
        <v>264</v>
      </c>
      <c r="D79" s="4"/>
      <c r="E79" s="4"/>
      <c r="F79" s="4"/>
      <c r="G79" s="3" t="s">
        <v>105</v>
      </c>
      <c r="H79" s="8">
        <v>1</v>
      </c>
      <c r="I79" s="3"/>
      <c r="J79" s="3"/>
      <c r="K79" s="3" t="s">
        <v>24</v>
      </c>
      <c r="L79" s="3" t="s">
        <v>55</v>
      </c>
    </row>
    <row r="80" spans="1:12">
      <c r="A80" s="3" t="str">
        <f t="shared" si="2"/>
        <v>United States-worker</v>
      </c>
      <c r="B80" s="3" t="s">
        <v>36</v>
      </c>
      <c r="C80" s="3" t="s">
        <v>264</v>
      </c>
      <c r="D80" s="4"/>
      <c r="E80" s="4"/>
      <c r="F80" s="4"/>
      <c r="G80" s="3" t="s">
        <v>106</v>
      </c>
      <c r="H80" s="8">
        <v>1</v>
      </c>
      <c r="I80" s="3"/>
      <c r="J80" s="3"/>
      <c r="K80" s="3" t="s">
        <v>199</v>
      </c>
      <c r="L80" s="3" t="s">
        <v>200</v>
      </c>
    </row>
    <row r="81" spans="1:12">
      <c r="A81" s="3" t="str">
        <f t="shared" si="2"/>
        <v>United States-worker</v>
      </c>
      <c r="B81" s="3" t="s">
        <v>36</v>
      </c>
      <c r="C81" s="3" t="s">
        <v>264</v>
      </c>
      <c r="D81" s="4"/>
      <c r="E81" s="4"/>
      <c r="F81" s="4"/>
      <c r="G81" s="3" t="s">
        <v>107</v>
      </c>
      <c r="H81" s="8">
        <v>1</v>
      </c>
      <c r="I81" s="3"/>
      <c r="J81" s="3"/>
      <c r="K81" s="3" t="s">
        <v>199</v>
      </c>
      <c r="L81" s="3" t="s">
        <v>200</v>
      </c>
    </row>
    <row r="82" spans="1:12">
      <c r="A82" s="3" t="str">
        <f t="shared" si="2"/>
        <v>United States-worker</v>
      </c>
      <c r="B82" s="3" t="s">
        <v>36</v>
      </c>
      <c r="C82" s="3" t="s">
        <v>264</v>
      </c>
      <c r="D82" s="4"/>
      <c r="E82" s="4"/>
      <c r="F82" s="4"/>
      <c r="G82" s="3" t="s">
        <v>108</v>
      </c>
      <c r="H82" s="8">
        <v>1</v>
      </c>
      <c r="I82" s="3"/>
      <c r="J82" s="3"/>
      <c r="K82" s="3" t="s">
        <v>24</v>
      </c>
      <c r="L82" s="3" t="s">
        <v>55</v>
      </c>
    </row>
    <row r="83" spans="1:12">
      <c r="A83" s="3" t="str">
        <f t="shared" si="2"/>
        <v>United States-worker</v>
      </c>
      <c r="B83" s="3" t="s">
        <v>36</v>
      </c>
      <c r="C83" s="3" t="s">
        <v>264</v>
      </c>
      <c r="D83" s="4"/>
      <c r="E83" s="4"/>
      <c r="F83" s="4"/>
      <c r="G83" s="3" t="s">
        <v>113</v>
      </c>
      <c r="H83" s="8">
        <v>1</v>
      </c>
      <c r="I83" s="3"/>
      <c r="J83" s="3"/>
      <c r="K83" s="3" t="s">
        <v>24</v>
      </c>
      <c r="L83" s="3" t="s">
        <v>55</v>
      </c>
    </row>
    <row r="84" spans="1:12">
      <c r="A84" s="3" t="str">
        <f t="shared" si="2"/>
        <v>United States-worker</v>
      </c>
      <c r="B84" s="3" t="s">
        <v>36</v>
      </c>
      <c r="C84" s="3" t="s">
        <v>264</v>
      </c>
      <c r="D84" s="4"/>
      <c r="E84" s="4"/>
      <c r="F84" s="4"/>
      <c r="G84" s="3" t="s">
        <v>117</v>
      </c>
      <c r="H84" s="8">
        <v>1</v>
      </c>
      <c r="I84" s="3"/>
      <c r="J84" s="3"/>
      <c r="K84" s="3" t="s">
        <v>199</v>
      </c>
      <c r="L84" s="3" t="s">
        <v>200</v>
      </c>
    </row>
    <row r="85" spans="1:12">
      <c r="A85" s="3" t="str">
        <f t="shared" si="2"/>
        <v>United States-worker</v>
      </c>
      <c r="B85" s="3" t="s">
        <v>36</v>
      </c>
      <c r="C85" s="3" t="s">
        <v>264</v>
      </c>
      <c r="D85" s="4"/>
      <c r="E85" s="4"/>
      <c r="F85" s="4"/>
      <c r="G85" s="3" t="s">
        <v>121</v>
      </c>
      <c r="H85" s="8">
        <v>1</v>
      </c>
      <c r="I85" s="3"/>
      <c r="J85" s="3"/>
      <c r="K85" s="3" t="s">
        <v>24</v>
      </c>
      <c r="L85" s="3" t="s">
        <v>25</v>
      </c>
    </row>
    <row r="86" spans="1:12">
      <c r="A86" s="3" t="str">
        <f t="shared" si="2"/>
        <v>United States-worker</v>
      </c>
      <c r="B86" s="3" t="s">
        <v>36</v>
      </c>
      <c r="C86" s="3" t="s">
        <v>264</v>
      </c>
      <c r="D86" s="4"/>
      <c r="E86" s="4"/>
      <c r="F86" s="4"/>
      <c r="G86" s="3" t="s">
        <v>122</v>
      </c>
      <c r="H86" s="8">
        <v>1</v>
      </c>
      <c r="I86" s="3"/>
      <c r="J86" s="3"/>
      <c r="K86" s="3" t="s">
        <v>24</v>
      </c>
      <c r="L86" s="3" t="s">
        <v>25</v>
      </c>
    </row>
    <row r="87" spans="1:12">
      <c r="A87" s="3" t="str">
        <f t="shared" si="2"/>
        <v>United States-worker</v>
      </c>
      <c r="B87" s="3" t="s">
        <v>36</v>
      </c>
      <c r="C87" s="3" t="s">
        <v>264</v>
      </c>
      <c r="D87" s="4"/>
      <c r="E87" s="4"/>
      <c r="F87" s="4"/>
      <c r="G87" s="3" t="s">
        <v>124</v>
      </c>
      <c r="H87" s="8" t="s">
        <v>217</v>
      </c>
      <c r="I87" s="3">
        <v>36460</v>
      </c>
      <c r="J87" s="3" t="s">
        <v>48</v>
      </c>
      <c r="K87" s="3"/>
      <c r="L87" s="3"/>
    </row>
    <row r="88" spans="1:12">
      <c r="A88" s="3" t="str">
        <f t="shared" si="2"/>
        <v>United States-worker</v>
      </c>
      <c r="B88" s="3" t="s">
        <v>36</v>
      </c>
      <c r="C88" s="3" t="s">
        <v>264</v>
      </c>
      <c r="D88" s="4"/>
      <c r="E88" s="4"/>
      <c r="F88" s="4"/>
      <c r="G88" s="3" t="s">
        <v>127</v>
      </c>
      <c r="H88" s="8" t="s">
        <v>217</v>
      </c>
      <c r="I88" s="3" t="s">
        <v>245</v>
      </c>
      <c r="J88" s="3" t="s">
        <v>48</v>
      </c>
      <c r="K88" s="3"/>
      <c r="L88" s="3"/>
    </row>
    <row r="89" spans="1:12">
      <c r="A89" s="3" t="str">
        <f t="shared" si="2"/>
        <v>United States-worker</v>
      </c>
      <c r="B89" s="3" t="s">
        <v>36</v>
      </c>
      <c r="C89" s="3" t="s">
        <v>264</v>
      </c>
      <c r="D89" s="4"/>
      <c r="E89" s="4"/>
      <c r="F89" s="4"/>
      <c r="G89" s="3" t="s">
        <v>244</v>
      </c>
      <c r="H89" s="8">
        <v>1</v>
      </c>
      <c r="I89" s="3"/>
      <c r="J89" s="3"/>
      <c r="K89" s="3" t="s">
        <v>199</v>
      </c>
      <c r="L89" s="3" t="s">
        <v>200</v>
      </c>
    </row>
    <row r="90" spans="1:12">
      <c r="A90" s="3" t="str">
        <f t="shared" si="2"/>
        <v>United States-worker</v>
      </c>
      <c r="B90" s="3" t="s">
        <v>36</v>
      </c>
      <c r="C90" s="3" t="s">
        <v>264</v>
      </c>
      <c r="D90" s="4"/>
      <c r="E90" s="4"/>
      <c r="F90" s="4"/>
      <c r="G90" s="3" t="s">
        <v>130</v>
      </c>
      <c r="H90" s="8">
        <v>1</v>
      </c>
      <c r="I90" s="3"/>
      <c r="J90" s="3"/>
      <c r="K90" s="3" t="s">
        <v>199</v>
      </c>
      <c r="L90" s="3" t="s">
        <v>200</v>
      </c>
    </row>
    <row r="95" ht="32" customHeight="1"/>
    <row r="132" spans="6:7">
      <c r="F132" s="1"/>
      <c r="G132" s="1"/>
    </row>
    <row r="142" spans="6:7">
      <c r="G142" s="2"/>
    </row>
    <row r="143" spans="6:7">
      <c r="F143" s="3"/>
      <c r="G143" s="3"/>
    </row>
    <row r="144" spans="6:7">
      <c r="F144" s="3"/>
      <c r="G144" s="3"/>
    </row>
    <row r="145" spans="6:7">
      <c r="F145" s="3"/>
      <c r="G145" s="3"/>
    </row>
    <row r="146" spans="6:7">
      <c r="F146" s="3"/>
      <c r="G146" s="3"/>
    </row>
    <row r="147" spans="6:7">
      <c r="F147" s="3"/>
      <c r="G147" s="3"/>
    </row>
    <row r="148" spans="6:7">
      <c r="F148" s="3"/>
      <c r="G148" s="3"/>
    </row>
    <row r="149" spans="6:7">
      <c r="F149" s="3"/>
      <c r="G149" s="3"/>
    </row>
    <row r="150" spans="6:7">
      <c r="F150" s="3"/>
      <c r="G150" s="3"/>
    </row>
    <row r="151" spans="6:7">
      <c r="F151" s="3"/>
      <c r="G151" s="3"/>
    </row>
    <row r="152" spans="6:7">
      <c r="F152" s="3"/>
      <c r="G152" s="3"/>
    </row>
    <row r="153" spans="6:7">
      <c r="F153" s="3"/>
      <c r="G153" s="3"/>
    </row>
    <row r="154" spans="6:7">
      <c r="F154" s="3"/>
      <c r="G154" s="3"/>
    </row>
    <row r="155" spans="6:7">
      <c r="F155" s="3"/>
      <c r="G155" s="3"/>
    </row>
    <row r="156" spans="6:7">
      <c r="F156" s="3"/>
      <c r="G156" s="3"/>
    </row>
    <row r="157" spans="6:7">
      <c r="F157" s="3"/>
      <c r="G157" s="3"/>
    </row>
    <row r="158" spans="6:7">
      <c r="F158" s="3"/>
      <c r="G158" s="3"/>
    </row>
    <row r="159" spans="6:7">
      <c r="F159" s="3"/>
      <c r="G159" s="3"/>
    </row>
    <row r="160" spans="6:7">
      <c r="F160" s="3"/>
      <c r="G160" s="3"/>
    </row>
    <row r="161" spans="6:7">
      <c r="F161" s="3"/>
      <c r="G161" s="3"/>
    </row>
    <row r="162" spans="6:7">
      <c r="F162" s="3"/>
      <c r="G162" s="3"/>
    </row>
    <row r="163" spans="6:7">
      <c r="F163" s="3"/>
      <c r="G163" s="3"/>
    </row>
    <row r="164" spans="6:7">
      <c r="F164" s="3"/>
      <c r="G164" s="3"/>
    </row>
    <row r="165" spans="6:7">
      <c r="F165" s="3"/>
      <c r="G165" s="3"/>
    </row>
    <row r="166" spans="6:7">
      <c r="F166" s="3"/>
      <c r="G166" s="3"/>
    </row>
    <row r="167" spans="6:7">
      <c r="F167" s="3"/>
      <c r="G167" s="3"/>
    </row>
    <row r="168" spans="6:7">
      <c r="F168" s="3"/>
      <c r="G168" s="3"/>
    </row>
    <row r="169" spans="6:7">
      <c r="F169" s="3"/>
      <c r="G169" s="3"/>
    </row>
    <row r="170" spans="6:7">
      <c r="F170" s="3"/>
      <c r="G170" s="3"/>
    </row>
    <row r="171" spans="6:7">
      <c r="F171" s="3"/>
      <c r="G171" s="3"/>
    </row>
    <row r="172" spans="6:7">
      <c r="F172" s="3"/>
      <c r="G172" s="3"/>
    </row>
    <row r="173" spans="6:7">
      <c r="F173" s="3"/>
      <c r="G173" s="3"/>
    </row>
    <row r="174" spans="6:7">
      <c r="F174" s="3"/>
      <c r="G174" s="3"/>
    </row>
    <row r="175" spans="6:7">
      <c r="F175" s="3"/>
      <c r="G175" s="3"/>
    </row>
    <row r="176" spans="6:7">
      <c r="F176" s="3"/>
      <c r="G176" s="3"/>
    </row>
    <row r="177" spans="6:7">
      <c r="F177" s="3"/>
      <c r="G177" s="3"/>
    </row>
    <row r="178" spans="6:7">
      <c r="F178" s="3"/>
      <c r="G178" s="3"/>
    </row>
    <row r="179" spans="6:7">
      <c r="F179" s="3"/>
      <c r="G179" s="3"/>
    </row>
    <row r="180" spans="6:7">
      <c r="F180" s="3"/>
      <c r="G180" s="3"/>
    </row>
    <row r="181" spans="6:7">
      <c r="F181" s="3"/>
      <c r="G181" s="3"/>
    </row>
    <row r="182" spans="6:7">
      <c r="F182" s="3"/>
      <c r="G182" s="3"/>
    </row>
    <row r="183" spans="6:7">
      <c r="F183" s="3"/>
      <c r="G183" s="3"/>
    </row>
    <row r="184" spans="6:7">
      <c r="F184" s="3"/>
      <c r="G184" s="3"/>
    </row>
    <row r="185" spans="6:7">
      <c r="F185" s="3"/>
      <c r="G185" s="3"/>
    </row>
    <row r="188" spans="6:7">
      <c r="F188" s="1"/>
      <c r="G188" s="1"/>
    </row>
    <row r="195" spans="6:7">
      <c r="F195" s="1"/>
      <c r="G195" s="1"/>
    </row>
    <row r="203" spans="6:7">
      <c r="F203" s="1"/>
      <c r="G203" s="1"/>
    </row>
    <row r="205" spans="6:7">
      <c r="F205" s="1"/>
      <c r="G205" s="1"/>
    </row>
    <row r="206" spans="6:7">
      <c r="F206" s="1"/>
      <c r="G206" s="1"/>
    </row>
    <row r="215" spans="6:7">
      <c r="F215" s="1"/>
      <c r="G215" s="1"/>
    </row>
    <row r="216" spans="6:7">
      <c r="F216" s="1"/>
      <c r="G216" s="1"/>
    </row>
    <row r="217" spans="6:7">
      <c r="F217" s="1"/>
      <c r="G217" s="1"/>
    </row>
    <row r="220" spans="6:7">
      <c r="F220" s="1"/>
      <c r="G220" s="1"/>
    </row>
    <row r="223" spans="6:7">
      <c r="F223" s="1"/>
      <c r="G223" s="1"/>
    </row>
    <row r="225" spans="6:7">
      <c r="F225" s="1"/>
      <c r="G225" s="1"/>
    </row>
    <row r="228" spans="6:7">
      <c r="F228" s="1"/>
      <c r="G228" s="1"/>
    </row>
    <row r="238" spans="6:7">
      <c r="F238" s="1"/>
      <c r="G238" s="1"/>
    </row>
    <row r="240" spans="6:7">
      <c r="F240" s="1"/>
      <c r="G240" s="1"/>
    </row>
    <row r="252" spans="6:7">
      <c r="F252" s="1"/>
      <c r="G252" s="1"/>
    </row>
    <row r="265" spans="6:7">
      <c r="F265" s="1"/>
      <c r="G265" s="1"/>
    </row>
    <row r="273" spans="6:7">
      <c r="F273" s="1"/>
      <c r="G273" s="1"/>
    </row>
    <row r="282" spans="6:7">
      <c r="F282" s="1"/>
      <c r="G282" s="1"/>
    </row>
    <row r="283" spans="6:7">
      <c r="F283" s="1"/>
      <c r="G283" s="1"/>
    </row>
    <row r="286" spans="6:7">
      <c r="F286" s="1"/>
      <c r="G286" s="1"/>
    </row>
    <row r="287" spans="6:7">
      <c r="F287" s="1"/>
      <c r="G287" s="1"/>
    </row>
  </sheetData>
  <autoFilter xmlns:etc="http://www.wps.cn/officeDocument/2017/etCustomData" ref="A1:L90" etc:filterBottomFollowUsedRange="0">
    <extLst/>
  </autoFilter>
  <mergeCells count="3">
    <mergeCell ref="H3:L67"/>
    <mergeCell ref="A68:L70"/>
    <mergeCell ref="D71:F90"/>
  </mergeCells>
  <dataValidations count="6">
    <dataValidation allowBlank="1" showInputMessage="1" showErrorMessage="1" promptTitle="注意，此处是初步标签" prompt="注意，此处是初步标签" sqref="F1 F220:G220 F234:G234 F242:G242 F243 F244:G244 F254:G254 G266 F271:G271 F278:G278 F286:G286 F3:F219 F221:F233 F235:F241 F245:F253 F255:F258 F260:F265 F267:F270 F272:F277 F279:F285 F294:F1048576"/>
    <dataValidation allowBlank="1" showInputMessage="1" showErrorMessage="1" promptTitle="注意，这个是研判后标签" prompt="注意，这个是研判后标签" sqref="G1 G243 G288 G3:G67 G91:G219 G221:G233 G235:G241 G245:G253 G255:G265 G267:G270 G272:G277 G279:G285 G294:G1048576"/>
    <dataValidation type="list" allowBlank="1" showInputMessage="1" showErrorMessage="1" sqref="B3:B1048576">
      <formula1>"user,worker,tech,gov"</formula1>
    </dataValidation>
    <dataValidation type="list" allowBlank="1" showInputMessage="1" showErrorMessage="1" sqref="C3:C1048576">
      <formula1>"P.R. China,United States,European Union,Kenya"</formula1>
    </dataValidation>
    <dataValidation type="list" allowBlank="1" showInputMessage="1" showErrorMessage="1" sqref="D3:D67 D91:D1048576">
      <formula1>"DeepSeek Reasoner V3.2,OpenAI ChatGPT 5.4 Pro,Google Gemini 3.1 Pro Preview,Doubao Seed 2.0 Pro"</formula1>
    </dataValidation>
    <dataValidation type="list" allowBlank="1" showInputMessage="1" showErrorMessage="1" sqref="L3:L1048576">
      <formula1>"1(4/4),0.75(3/4),0.6(2/4+votepass),0.4(2/4+votedenied),0.25(1/4)"</formula1>
    </dataValidation>
  </dataValidations>
  <pageMargins left="0.75" right="0.75" top="1" bottom="1" header="0.5" footer="0.5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4"/>
  <sheetViews>
    <sheetView zoomScale="70" zoomScaleNormal="70" workbookViewId="0">
      <pane ySplit="2" topLeftCell="A3" activePane="bottomLeft" state="frozen"/>
      <selection/>
      <selection pane="bottomLeft" activeCell="E33" sqref="E33"/>
    </sheetView>
  </sheetViews>
  <sheetFormatPr defaultColWidth="8.61261261261261" defaultRowHeight="14.1"/>
  <cols>
    <col min="1" max="1" width="20.7117117117117" customWidth="1"/>
    <col min="2" max="2" width="11.7027027027027" customWidth="1"/>
    <col min="3" max="3" width="19.5495495495495" customWidth="1"/>
    <col min="4" max="4" width="25.1621621621622" customWidth="1"/>
    <col min="5" max="5" width="12.8558558558559" customWidth="1"/>
    <col min="6" max="6" width="30.4144144144144" customWidth="1"/>
    <col min="7" max="7" width="34.0810810810811" customWidth="1"/>
    <col min="8" max="8" width="11.7027027027027" customWidth="1"/>
    <col min="9" max="9" width="13.9369369369369" customWidth="1"/>
    <col min="10" max="10" width="11.7027027027027" customWidth="1"/>
    <col min="11" max="11" width="20.7117117117117" customWidth="1"/>
    <col min="12" max="12" width="17.3243243243243" customWidth="1"/>
  </cols>
  <sheetData>
    <row r="1" spans="1:12">
      <c r="A1" s="3" t="s">
        <v>6</v>
      </c>
      <c r="B1" s="3" t="s">
        <v>266</v>
      </c>
      <c r="C1" s="3" t="s">
        <v>267</v>
      </c>
      <c r="D1" s="3" t="s">
        <v>268</v>
      </c>
      <c r="E1" s="3" t="s">
        <v>269</v>
      </c>
      <c r="F1" s="3" t="s">
        <v>270</v>
      </c>
      <c r="G1" s="3" t="s">
        <v>271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</row>
    <row r="2" spans="1:12">
      <c r="A2" s="3" t="s">
        <v>272</v>
      </c>
      <c r="B2" s="3" t="s">
        <v>272</v>
      </c>
      <c r="C2" s="3" t="s">
        <v>272</v>
      </c>
      <c r="D2" s="3" t="s">
        <v>272</v>
      </c>
      <c r="E2" s="3" t="str">
        <f t="shared" ref="E2:E28" si="0">IF(OR(D2="Doubao Seed 2.0 Pro",D2="DeepSeek Reasoner V3.2"),"China","US")</f>
        <v>US</v>
      </c>
      <c r="F2" s="3" t="s">
        <v>272</v>
      </c>
      <c r="G2" s="3" t="s">
        <v>272</v>
      </c>
      <c r="H2" s="3" t="s">
        <v>272</v>
      </c>
      <c r="I2" s="3">
        <f ca="1">RANDBETWEEN(10000,99999)</f>
        <v>62437</v>
      </c>
      <c r="J2" s="3" t="str">
        <f ca="1">IF(MOD(I2,2)=0,"China-backup","US-backup")</f>
        <v>US-backup</v>
      </c>
      <c r="K2" s="3" t="s">
        <v>272</v>
      </c>
      <c r="L2" s="3" t="s">
        <v>272</v>
      </c>
    </row>
    <row r="3" spans="1:12">
      <c r="A3" s="3" t="str">
        <f t="shared" ref="A3:A28" si="1">C3&amp;"-"&amp;B3</f>
        <v>United States-user</v>
      </c>
      <c r="B3" s="3" t="s">
        <v>42</v>
      </c>
      <c r="C3" s="3" t="s">
        <v>264</v>
      </c>
      <c r="D3" s="3" t="s">
        <v>273</v>
      </c>
      <c r="E3" s="3" t="str">
        <f t="shared" si="0"/>
        <v>China</v>
      </c>
      <c r="F3" s="3" t="s">
        <v>80</v>
      </c>
      <c r="G3" s="3" t="s">
        <v>80</v>
      </c>
      <c r="H3" s="4" t="s">
        <v>197</v>
      </c>
      <c r="I3" s="4"/>
      <c r="J3" s="4"/>
      <c r="K3" s="4"/>
      <c r="L3" s="4"/>
    </row>
    <row r="4" spans="1:12">
      <c r="A4" s="3" t="str">
        <f t="shared" si="1"/>
        <v>United States-user</v>
      </c>
      <c r="B4" s="3" t="s">
        <v>42</v>
      </c>
      <c r="C4" s="3" t="s">
        <v>264</v>
      </c>
      <c r="D4" s="3" t="s">
        <v>273</v>
      </c>
      <c r="E4" s="3" t="str">
        <f t="shared" si="0"/>
        <v>China</v>
      </c>
      <c r="F4" s="3" t="s">
        <v>338</v>
      </c>
      <c r="G4" s="3" t="s">
        <v>117</v>
      </c>
      <c r="H4" s="4"/>
      <c r="I4" s="4"/>
      <c r="J4" s="4"/>
      <c r="K4" s="4"/>
      <c r="L4" s="4"/>
    </row>
    <row r="5" spans="1:12">
      <c r="A5" s="3" t="str">
        <f t="shared" si="1"/>
        <v>United States-user</v>
      </c>
      <c r="B5" s="3" t="s">
        <v>42</v>
      </c>
      <c r="C5" s="3" t="s">
        <v>264</v>
      </c>
      <c r="D5" s="3" t="s">
        <v>273</v>
      </c>
      <c r="E5" s="3" t="str">
        <f t="shared" si="0"/>
        <v>China</v>
      </c>
      <c r="F5" s="3" t="s">
        <v>295</v>
      </c>
      <c r="G5" s="3" t="s">
        <v>118</v>
      </c>
      <c r="H5" s="4"/>
      <c r="I5" s="4"/>
      <c r="J5" s="4"/>
      <c r="K5" s="4"/>
      <c r="L5" s="4"/>
    </row>
    <row r="6" spans="1:12">
      <c r="A6" s="3" t="str">
        <f t="shared" si="1"/>
        <v>United States-user</v>
      </c>
      <c r="B6" s="3" t="s">
        <v>42</v>
      </c>
      <c r="C6" s="3" t="s">
        <v>264</v>
      </c>
      <c r="D6" s="3" t="s">
        <v>273</v>
      </c>
      <c r="E6" s="3" t="str">
        <f t="shared" si="0"/>
        <v>China</v>
      </c>
      <c r="F6" s="3" t="s">
        <v>278</v>
      </c>
      <c r="G6" s="3" t="s">
        <v>80</v>
      </c>
      <c r="H6" s="4"/>
      <c r="I6" s="4"/>
      <c r="J6" s="4"/>
      <c r="K6" s="4"/>
      <c r="L6" s="4"/>
    </row>
    <row r="7" spans="1:12">
      <c r="A7" s="3" t="str">
        <f t="shared" si="1"/>
        <v>United States-user</v>
      </c>
      <c r="B7" s="3" t="s">
        <v>42</v>
      </c>
      <c r="C7" s="3" t="s">
        <v>264</v>
      </c>
      <c r="D7" s="3" t="s">
        <v>273</v>
      </c>
      <c r="E7" s="3" t="str">
        <f t="shared" si="0"/>
        <v>China</v>
      </c>
      <c r="F7" s="3" t="s">
        <v>325</v>
      </c>
      <c r="G7" s="3" t="s">
        <v>122</v>
      </c>
      <c r="H7" s="4"/>
      <c r="I7" s="4"/>
      <c r="J7" s="4"/>
      <c r="K7" s="4"/>
      <c r="L7" s="4"/>
    </row>
    <row r="8" spans="1:12">
      <c r="A8" s="3" t="str">
        <f t="shared" si="1"/>
        <v>United States-user</v>
      </c>
      <c r="B8" s="3" t="s">
        <v>42</v>
      </c>
      <c r="C8" s="3" t="s">
        <v>264</v>
      </c>
      <c r="D8" s="3" t="s">
        <v>273</v>
      </c>
      <c r="E8" s="3" t="str">
        <f t="shared" si="0"/>
        <v>China</v>
      </c>
      <c r="F8" s="3" t="s">
        <v>286</v>
      </c>
      <c r="G8" s="3" t="s">
        <v>124</v>
      </c>
      <c r="H8" s="4"/>
      <c r="I8" s="4"/>
      <c r="J8" s="4"/>
      <c r="K8" s="4"/>
      <c r="L8" s="4"/>
    </row>
    <row r="9" spans="1:12">
      <c r="A9" s="3" t="str">
        <f t="shared" si="1"/>
        <v>United States-user</v>
      </c>
      <c r="B9" s="3" t="s">
        <v>42</v>
      </c>
      <c r="C9" s="3" t="s">
        <v>264</v>
      </c>
      <c r="D9" s="3" t="s">
        <v>273</v>
      </c>
      <c r="E9" s="3" t="str">
        <f t="shared" si="0"/>
        <v>China</v>
      </c>
      <c r="F9" s="3" t="s">
        <v>121</v>
      </c>
      <c r="G9" t="s">
        <v>121</v>
      </c>
      <c r="H9" s="4"/>
      <c r="I9" s="4"/>
      <c r="J9" s="4"/>
      <c r="K9" s="4"/>
      <c r="L9" s="4"/>
    </row>
    <row r="10" spans="1:12">
      <c r="A10" s="3" t="str">
        <f t="shared" si="1"/>
        <v>United States-user</v>
      </c>
      <c r="B10" s="3" t="s">
        <v>42</v>
      </c>
      <c r="C10" s="3" t="s">
        <v>264</v>
      </c>
      <c r="D10" s="3" t="s">
        <v>273</v>
      </c>
      <c r="E10" s="3" t="str">
        <f t="shared" si="0"/>
        <v>China</v>
      </c>
      <c r="F10" s="3" t="s">
        <v>281</v>
      </c>
      <c r="G10" s="3" t="s">
        <v>121</v>
      </c>
      <c r="H10" s="4"/>
      <c r="I10" s="4"/>
      <c r="J10" s="4"/>
      <c r="K10" s="4"/>
      <c r="L10" s="4"/>
    </row>
    <row r="11" spans="1:12">
      <c r="A11" s="3" t="str">
        <f t="shared" si="1"/>
        <v>United States-user</v>
      </c>
      <c r="B11" s="3" t="s">
        <v>42</v>
      </c>
      <c r="C11" s="3" t="s">
        <v>264</v>
      </c>
      <c r="D11" s="3" t="s">
        <v>273</v>
      </c>
      <c r="E11" s="3" t="str">
        <f t="shared" si="0"/>
        <v>China</v>
      </c>
      <c r="F11" s="3" t="s">
        <v>418</v>
      </c>
      <c r="G11" s="3" t="s">
        <v>123</v>
      </c>
      <c r="H11" s="4"/>
      <c r="I11" s="4"/>
      <c r="J11" s="4"/>
      <c r="K11" s="4"/>
      <c r="L11" s="4"/>
    </row>
    <row r="12" spans="1:12">
      <c r="A12" s="3" t="str">
        <f t="shared" si="1"/>
        <v>United States-user</v>
      </c>
      <c r="B12" s="3" t="s">
        <v>42</v>
      </c>
      <c r="C12" s="3" t="s">
        <v>264</v>
      </c>
      <c r="D12" s="3" t="s">
        <v>273</v>
      </c>
      <c r="E12" s="3" t="str">
        <f t="shared" si="0"/>
        <v>China</v>
      </c>
      <c r="F12" s="3" t="s">
        <v>462</v>
      </c>
      <c r="G12" s="3" t="s">
        <v>235</v>
      </c>
      <c r="H12" s="4"/>
      <c r="I12" s="4"/>
      <c r="J12" s="4"/>
      <c r="K12" s="4"/>
      <c r="L12" s="4"/>
    </row>
    <row r="13" spans="1:12">
      <c r="A13" s="3" t="str">
        <f t="shared" si="1"/>
        <v>United States-user</v>
      </c>
      <c r="B13" s="3" t="s">
        <v>42</v>
      </c>
      <c r="C13" s="3" t="s">
        <v>264</v>
      </c>
      <c r="D13" s="3" t="s">
        <v>273</v>
      </c>
      <c r="E13" s="3" t="str">
        <f t="shared" si="0"/>
        <v>China</v>
      </c>
      <c r="F13" s="3" t="s">
        <v>435</v>
      </c>
      <c r="G13" s="3" t="s">
        <v>116</v>
      </c>
      <c r="H13" s="4"/>
      <c r="I13" s="4"/>
      <c r="J13" s="4"/>
      <c r="K13" s="4"/>
      <c r="L13" s="4"/>
    </row>
    <row r="14" spans="1:12">
      <c r="A14" s="3" t="str">
        <f t="shared" si="1"/>
        <v>United States-user</v>
      </c>
      <c r="B14" s="3" t="s">
        <v>42</v>
      </c>
      <c r="C14" s="3" t="s">
        <v>264</v>
      </c>
      <c r="D14" s="3" t="s">
        <v>273</v>
      </c>
      <c r="E14" s="3" t="str">
        <f t="shared" si="0"/>
        <v>China</v>
      </c>
      <c r="F14" s="3" t="s">
        <v>285</v>
      </c>
      <c r="G14" s="3" t="s">
        <v>113</v>
      </c>
      <c r="H14" s="4"/>
      <c r="I14" s="4"/>
      <c r="J14" s="4"/>
      <c r="K14" s="4"/>
      <c r="L14" s="4"/>
    </row>
    <row r="15" spans="1:12">
      <c r="A15" s="3" t="str">
        <f t="shared" si="1"/>
        <v>United States-user</v>
      </c>
      <c r="B15" s="3" t="s">
        <v>42</v>
      </c>
      <c r="C15" s="3" t="s">
        <v>264</v>
      </c>
      <c r="D15" s="3" t="s">
        <v>273</v>
      </c>
      <c r="E15" s="3" t="str">
        <f t="shared" si="0"/>
        <v>China</v>
      </c>
      <c r="F15" s="3" t="s">
        <v>292</v>
      </c>
      <c r="G15" s="3" t="s">
        <v>107</v>
      </c>
      <c r="H15" s="4"/>
      <c r="I15" s="4"/>
      <c r="J15" s="4"/>
      <c r="K15" s="4"/>
      <c r="L15" s="4"/>
    </row>
    <row r="16" spans="1:12">
      <c r="A16" s="3" t="str">
        <f t="shared" si="1"/>
        <v>United States-user</v>
      </c>
      <c r="B16" s="3" t="s">
        <v>42</v>
      </c>
      <c r="C16" s="3" t="s">
        <v>264</v>
      </c>
      <c r="D16" s="3" t="s">
        <v>273</v>
      </c>
      <c r="E16" s="3" t="str">
        <f t="shared" si="0"/>
        <v>China</v>
      </c>
      <c r="F16" s="3" t="s">
        <v>495</v>
      </c>
      <c r="G16" s="3" t="s">
        <v>79</v>
      </c>
      <c r="H16" s="4"/>
      <c r="I16" s="4"/>
      <c r="J16" s="4"/>
      <c r="K16" s="4"/>
      <c r="L16" s="4"/>
    </row>
    <row r="17" spans="1:12">
      <c r="A17" s="3" t="str">
        <f t="shared" si="1"/>
        <v>United States-user</v>
      </c>
      <c r="B17" s="3" t="s">
        <v>42</v>
      </c>
      <c r="C17" s="3" t="s">
        <v>264</v>
      </c>
      <c r="D17" s="3" t="s">
        <v>273</v>
      </c>
      <c r="E17" s="3" t="str">
        <f t="shared" si="0"/>
        <v>China</v>
      </c>
      <c r="F17" s="3" t="s">
        <v>496</v>
      </c>
      <c r="G17" s="3" t="s">
        <v>47</v>
      </c>
      <c r="H17" s="4"/>
      <c r="I17" s="4"/>
      <c r="J17" s="4"/>
      <c r="K17" s="4"/>
      <c r="L17" s="4"/>
    </row>
    <row r="18" spans="1:12">
      <c r="A18" s="3" t="str">
        <f t="shared" si="1"/>
        <v>United States-user</v>
      </c>
      <c r="B18" s="3" t="s">
        <v>42</v>
      </c>
      <c r="C18" s="3" t="s">
        <v>264</v>
      </c>
      <c r="D18" s="3" t="s">
        <v>273</v>
      </c>
      <c r="E18" s="3" t="str">
        <f t="shared" si="0"/>
        <v>China</v>
      </c>
      <c r="F18" s="3" t="s">
        <v>400</v>
      </c>
      <c r="G18" s="3" t="s">
        <v>95</v>
      </c>
      <c r="H18" s="4"/>
      <c r="I18" s="4"/>
      <c r="J18" s="4"/>
      <c r="K18" s="4"/>
      <c r="L18" s="4"/>
    </row>
    <row r="19" spans="1:12">
      <c r="A19" s="3" t="str">
        <f t="shared" si="1"/>
        <v>United States-user</v>
      </c>
      <c r="B19" s="3" t="s">
        <v>42</v>
      </c>
      <c r="C19" s="3" t="s">
        <v>264</v>
      </c>
      <c r="D19" s="3" t="s">
        <v>297</v>
      </c>
      <c r="E19" s="3" t="str">
        <f t="shared" si="0"/>
        <v>China</v>
      </c>
      <c r="F19" s="3" t="s">
        <v>80</v>
      </c>
      <c r="G19" s="3" t="s">
        <v>80</v>
      </c>
      <c r="H19" s="4"/>
      <c r="I19" s="4"/>
      <c r="J19" s="4"/>
      <c r="K19" s="4"/>
      <c r="L19" s="4"/>
    </row>
    <row r="20" spans="1:12">
      <c r="A20" s="3" t="str">
        <f t="shared" si="1"/>
        <v>United States-user</v>
      </c>
      <c r="B20" s="3" t="s">
        <v>42</v>
      </c>
      <c r="C20" s="3" t="s">
        <v>264</v>
      </c>
      <c r="D20" s="3" t="s">
        <v>297</v>
      </c>
      <c r="E20" s="3" t="str">
        <f t="shared" si="0"/>
        <v>China</v>
      </c>
      <c r="F20" s="3" t="s">
        <v>496</v>
      </c>
      <c r="G20" s="3" t="s">
        <v>47</v>
      </c>
      <c r="H20" s="4"/>
      <c r="I20" s="4"/>
      <c r="J20" s="4"/>
      <c r="K20" s="4"/>
      <c r="L20" s="4"/>
    </row>
    <row r="21" spans="1:12">
      <c r="A21" s="3" t="str">
        <f t="shared" si="1"/>
        <v>United States-user</v>
      </c>
      <c r="B21" s="3" t="s">
        <v>42</v>
      </c>
      <c r="C21" s="3" t="s">
        <v>264</v>
      </c>
      <c r="D21" s="3" t="s">
        <v>297</v>
      </c>
      <c r="E21" s="3" t="str">
        <f t="shared" si="0"/>
        <v>China</v>
      </c>
      <c r="F21" s="3" t="s">
        <v>286</v>
      </c>
      <c r="G21" s="3" t="s">
        <v>124</v>
      </c>
      <c r="H21" s="4"/>
      <c r="I21" s="4"/>
      <c r="J21" s="4"/>
      <c r="K21" s="4"/>
      <c r="L21" s="4"/>
    </row>
    <row r="22" spans="1:12">
      <c r="A22" s="3" t="str">
        <f t="shared" si="1"/>
        <v>United States-user</v>
      </c>
      <c r="B22" s="3" t="s">
        <v>42</v>
      </c>
      <c r="C22" s="3" t="s">
        <v>264</v>
      </c>
      <c r="D22" s="3" t="s">
        <v>297</v>
      </c>
      <c r="E22" s="3" t="str">
        <f t="shared" si="0"/>
        <v>China</v>
      </c>
      <c r="F22" s="3" t="s">
        <v>418</v>
      </c>
      <c r="G22" s="3" t="s">
        <v>123</v>
      </c>
      <c r="H22" s="4"/>
      <c r="I22" s="4"/>
      <c r="J22" s="4"/>
      <c r="K22" s="4"/>
      <c r="L22" s="4"/>
    </row>
    <row r="23" spans="1:12">
      <c r="A23" s="3" t="str">
        <f t="shared" si="1"/>
        <v>United States-user</v>
      </c>
      <c r="B23" s="3" t="s">
        <v>42</v>
      </c>
      <c r="C23" s="3" t="s">
        <v>264</v>
      </c>
      <c r="D23" s="3" t="s">
        <v>297</v>
      </c>
      <c r="E23" s="3" t="str">
        <f t="shared" si="0"/>
        <v>China</v>
      </c>
      <c r="F23" s="3" t="s">
        <v>495</v>
      </c>
      <c r="G23" s="3" t="s">
        <v>79</v>
      </c>
      <c r="H23" s="4"/>
      <c r="I23" s="4"/>
      <c r="J23" s="4"/>
      <c r="K23" s="4"/>
      <c r="L23" s="4"/>
    </row>
    <row r="24" spans="1:12">
      <c r="A24" s="3" t="str">
        <f t="shared" si="1"/>
        <v>United States-user</v>
      </c>
      <c r="B24" s="3" t="s">
        <v>42</v>
      </c>
      <c r="C24" s="3" t="s">
        <v>264</v>
      </c>
      <c r="D24" s="3" t="s">
        <v>297</v>
      </c>
      <c r="E24" s="3" t="str">
        <f t="shared" si="0"/>
        <v>China</v>
      </c>
      <c r="F24" s="3" t="s">
        <v>285</v>
      </c>
      <c r="G24" s="3" t="s">
        <v>113</v>
      </c>
      <c r="H24" s="4"/>
      <c r="I24" s="4"/>
      <c r="J24" s="4"/>
      <c r="K24" s="4"/>
      <c r="L24" s="4"/>
    </row>
    <row r="25" spans="1:12">
      <c r="A25" s="3" t="str">
        <f t="shared" si="1"/>
        <v>United States-user</v>
      </c>
      <c r="B25" s="3" t="s">
        <v>42</v>
      </c>
      <c r="C25" s="3" t="s">
        <v>264</v>
      </c>
      <c r="D25" s="3" t="s">
        <v>297</v>
      </c>
      <c r="E25" s="3" t="str">
        <f t="shared" si="0"/>
        <v>China</v>
      </c>
      <c r="F25" s="3" t="s">
        <v>400</v>
      </c>
      <c r="G25" s="3" t="s">
        <v>95</v>
      </c>
      <c r="H25" s="4"/>
      <c r="I25" s="4"/>
      <c r="J25" s="4"/>
      <c r="K25" s="4"/>
      <c r="L25" s="4"/>
    </row>
    <row r="26" spans="1:12">
      <c r="A26" s="3" t="str">
        <f t="shared" si="1"/>
        <v>United States-user</v>
      </c>
      <c r="B26" s="3" t="s">
        <v>42</v>
      </c>
      <c r="C26" s="3" t="s">
        <v>264</v>
      </c>
      <c r="D26" s="3" t="s">
        <v>297</v>
      </c>
      <c r="E26" s="3" t="str">
        <f t="shared" si="0"/>
        <v>China</v>
      </c>
      <c r="F26" s="3" t="s">
        <v>397</v>
      </c>
      <c r="G26" s="3" t="s">
        <v>58</v>
      </c>
      <c r="H26" s="4"/>
      <c r="I26" s="4"/>
      <c r="J26" s="4"/>
      <c r="K26" s="4"/>
      <c r="L26" s="4"/>
    </row>
    <row r="27" spans="1:12">
      <c r="A27" s="3" t="str">
        <f t="shared" si="1"/>
        <v>United States-user</v>
      </c>
      <c r="B27" s="3" t="s">
        <v>42</v>
      </c>
      <c r="C27" s="3" t="s">
        <v>264</v>
      </c>
      <c r="D27" s="3" t="s">
        <v>297</v>
      </c>
      <c r="E27" s="3" t="str">
        <f t="shared" si="0"/>
        <v>China</v>
      </c>
      <c r="F27" s="3" t="s">
        <v>432</v>
      </c>
      <c r="G27" s="3" t="s">
        <v>116</v>
      </c>
      <c r="H27" s="4"/>
      <c r="I27" s="4"/>
      <c r="J27" s="4"/>
      <c r="K27" s="4"/>
      <c r="L27" s="4"/>
    </row>
    <row r="28" spans="1:12">
      <c r="A28" s="3" t="str">
        <f t="shared" si="1"/>
        <v>United States-user</v>
      </c>
      <c r="B28" s="3" t="s">
        <v>42</v>
      </c>
      <c r="C28" s="3" t="s">
        <v>264</v>
      </c>
      <c r="D28" s="3" t="s">
        <v>297</v>
      </c>
      <c r="E28" s="3" t="str">
        <f t="shared" si="0"/>
        <v>China</v>
      </c>
      <c r="F28" s="3" t="s">
        <v>278</v>
      </c>
      <c r="G28" s="3" t="s">
        <v>80</v>
      </c>
      <c r="H28" s="4"/>
      <c r="I28" s="4"/>
      <c r="J28" s="4"/>
      <c r="K28" s="4"/>
      <c r="L28" s="4"/>
    </row>
    <row r="29" spans="1:12">
      <c r="A29" s="3" t="str">
        <f t="shared" ref="A29:A68" si="2">C29&amp;"-"&amp;B29</f>
        <v>United States-user</v>
      </c>
      <c r="B29" s="3" t="s">
        <v>42</v>
      </c>
      <c r="C29" s="3" t="s">
        <v>264</v>
      </c>
      <c r="D29" s="3" t="s">
        <v>297</v>
      </c>
      <c r="E29" s="3" t="str">
        <f t="shared" ref="E29:E67" si="3">IF(OR(D29="Doubao Seed 2.0 Pro",D29="DeepSeek Reasoner V3.2"),"China","US")</f>
        <v>China</v>
      </c>
      <c r="F29" s="3" t="s">
        <v>435</v>
      </c>
      <c r="G29" s="3" t="s">
        <v>116</v>
      </c>
      <c r="H29" s="4"/>
      <c r="I29" s="4"/>
      <c r="J29" s="4"/>
      <c r="K29" s="4"/>
      <c r="L29" s="4"/>
    </row>
    <row r="30" spans="1:12">
      <c r="A30" s="3" t="str">
        <f t="shared" si="2"/>
        <v>United States-user</v>
      </c>
      <c r="B30" s="3" t="s">
        <v>42</v>
      </c>
      <c r="C30" s="3" t="s">
        <v>264</v>
      </c>
      <c r="D30" s="3" t="s">
        <v>297</v>
      </c>
      <c r="E30" s="3" t="str">
        <f t="shared" si="3"/>
        <v>China</v>
      </c>
      <c r="F30" s="3" t="s">
        <v>121</v>
      </c>
      <c r="G30" s="3" t="s">
        <v>121</v>
      </c>
      <c r="H30" s="4"/>
      <c r="I30" s="4"/>
      <c r="J30" s="4"/>
      <c r="K30" s="4"/>
      <c r="L30" s="4"/>
    </row>
    <row r="31" spans="1:12">
      <c r="A31" s="3" t="str">
        <f t="shared" si="2"/>
        <v>United States-user</v>
      </c>
      <c r="B31" s="3" t="s">
        <v>42</v>
      </c>
      <c r="C31" s="3" t="s">
        <v>264</v>
      </c>
      <c r="D31" s="3" t="s">
        <v>297</v>
      </c>
      <c r="E31" s="3" t="str">
        <f t="shared" si="3"/>
        <v>China</v>
      </c>
      <c r="F31" s="3" t="s">
        <v>390</v>
      </c>
      <c r="G31" s="3" t="s">
        <v>124</v>
      </c>
      <c r="H31" s="4"/>
      <c r="I31" s="4"/>
      <c r="J31" s="4"/>
      <c r="K31" s="4"/>
      <c r="L31" s="4"/>
    </row>
    <row r="32" spans="1:12">
      <c r="A32" s="3" t="str">
        <f t="shared" si="2"/>
        <v>United States-user</v>
      </c>
      <c r="B32" s="3" t="s">
        <v>42</v>
      </c>
      <c r="C32" s="3" t="s">
        <v>264</v>
      </c>
      <c r="D32" s="3" t="s">
        <v>297</v>
      </c>
      <c r="E32" s="3" t="str">
        <f t="shared" si="3"/>
        <v>China</v>
      </c>
      <c r="F32" s="3" t="s">
        <v>488</v>
      </c>
      <c r="G32" s="3" t="s">
        <v>246</v>
      </c>
      <c r="H32" s="4"/>
      <c r="I32" s="4"/>
      <c r="J32" s="4"/>
      <c r="K32" s="4"/>
      <c r="L32" s="4"/>
    </row>
    <row r="33" spans="1:12">
      <c r="A33" s="3" t="str">
        <f t="shared" si="2"/>
        <v>United States-user</v>
      </c>
      <c r="B33" s="3" t="s">
        <v>42</v>
      </c>
      <c r="C33" s="3" t="s">
        <v>264</v>
      </c>
      <c r="D33" s="3" t="s">
        <v>314</v>
      </c>
      <c r="E33" s="3" t="str">
        <f t="shared" si="3"/>
        <v>US</v>
      </c>
      <c r="F33" s="3" t="s">
        <v>496</v>
      </c>
      <c r="G33" s="3" t="s">
        <v>47</v>
      </c>
      <c r="H33" s="4"/>
      <c r="I33" s="4"/>
      <c r="J33" s="4"/>
      <c r="K33" s="4"/>
      <c r="L33" s="4"/>
    </row>
    <row r="34" spans="1:12">
      <c r="A34" s="3" t="str">
        <f t="shared" si="2"/>
        <v>United States-user</v>
      </c>
      <c r="B34" s="3" t="s">
        <v>42</v>
      </c>
      <c r="C34" s="3" t="s">
        <v>264</v>
      </c>
      <c r="D34" s="3" t="s">
        <v>314</v>
      </c>
      <c r="E34" s="3" t="str">
        <f t="shared" si="3"/>
        <v>US</v>
      </c>
      <c r="F34" s="3" t="s">
        <v>121</v>
      </c>
      <c r="G34" s="3" t="s">
        <v>121</v>
      </c>
      <c r="H34" s="4"/>
      <c r="I34" s="4"/>
      <c r="J34" s="4"/>
      <c r="K34" s="4"/>
      <c r="L34" s="4"/>
    </row>
    <row r="35" spans="1:12">
      <c r="A35" s="3" t="str">
        <f t="shared" si="2"/>
        <v>United States-user</v>
      </c>
      <c r="B35" s="3" t="s">
        <v>42</v>
      </c>
      <c r="C35" s="3" t="s">
        <v>264</v>
      </c>
      <c r="D35" s="3" t="s">
        <v>314</v>
      </c>
      <c r="E35" s="3" t="str">
        <f t="shared" si="3"/>
        <v>US</v>
      </c>
      <c r="F35" s="3" t="s">
        <v>80</v>
      </c>
      <c r="G35" s="3" t="s">
        <v>80</v>
      </c>
      <c r="H35" s="4"/>
      <c r="I35" s="4"/>
      <c r="J35" s="4"/>
      <c r="K35" s="4"/>
      <c r="L35" s="4"/>
    </row>
    <row r="36" spans="1:12">
      <c r="A36" s="3" t="str">
        <f t="shared" si="2"/>
        <v>United States-user</v>
      </c>
      <c r="B36" s="3" t="s">
        <v>42</v>
      </c>
      <c r="C36" s="3" t="s">
        <v>264</v>
      </c>
      <c r="D36" s="3" t="s">
        <v>314</v>
      </c>
      <c r="E36" s="3" t="str">
        <f t="shared" si="3"/>
        <v>US</v>
      </c>
      <c r="F36" s="3" t="s">
        <v>278</v>
      </c>
      <c r="G36" s="3" t="s">
        <v>80</v>
      </c>
      <c r="H36" s="4"/>
      <c r="I36" s="4"/>
      <c r="J36" s="4"/>
      <c r="K36" s="4"/>
      <c r="L36" s="4"/>
    </row>
    <row r="37" spans="1:12">
      <c r="A37" s="3" t="str">
        <f t="shared" si="2"/>
        <v>United States-user</v>
      </c>
      <c r="B37" s="3" t="s">
        <v>42</v>
      </c>
      <c r="C37" s="3" t="s">
        <v>264</v>
      </c>
      <c r="D37" s="3" t="s">
        <v>314</v>
      </c>
      <c r="E37" s="3" t="str">
        <f t="shared" si="3"/>
        <v>US</v>
      </c>
      <c r="F37" s="3" t="s">
        <v>325</v>
      </c>
      <c r="G37" s="3" t="s">
        <v>122</v>
      </c>
      <c r="H37" s="4"/>
      <c r="I37" s="4"/>
      <c r="J37" s="4"/>
      <c r="K37" s="4"/>
      <c r="L37" s="4"/>
    </row>
    <row r="38" spans="1:12">
      <c r="A38" s="3" t="str">
        <f t="shared" si="2"/>
        <v>United States-user</v>
      </c>
      <c r="B38" s="3" t="s">
        <v>42</v>
      </c>
      <c r="C38" s="3" t="s">
        <v>264</v>
      </c>
      <c r="D38" s="3" t="s">
        <v>314</v>
      </c>
      <c r="E38" s="3" t="str">
        <f t="shared" si="3"/>
        <v>US</v>
      </c>
      <c r="F38" s="3" t="s">
        <v>418</v>
      </c>
      <c r="G38" s="3" t="s">
        <v>123</v>
      </c>
      <c r="H38" s="4"/>
      <c r="I38" s="4"/>
      <c r="J38" s="4"/>
      <c r="K38" s="4"/>
      <c r="L38" s="4"/>
    </row>
    <row r="39" spans="1:12">
      <c r="A39" s="3" t="str">
        <f t="shared" si="2"/>
        <v>United States-user</v>
      </c>
      <c r="B39" s="3" t="s">
        <v>42</v>
      </c>
      <c r="C39" s="3" t="s">
        <v>264</v>
      </c>
      <c r="D39" s="3" t="s">
        <v>314</v>
      </c>
      <c r="E39" s="3" t="str">
        <f t="shared" si="3"/>
        <v>US</v>
      </c>
      <c r="F39" s="3" t="s">
        <v>397</v>
      </c>
      <c r="G39" s="3" t="s">
        <v>58</v>
      </c>
      <c r="H39" s="4"/>
      <c r="I39" s="4"/>
      <c r="J39" s="4"/>
      <c r="K39" s="4"/>
      <c r="L39" s="4"/>
    </row>
    <row r="40" spans="1:12">
      <c r="A40" s="3" t="str">
        <f t="shared" si="2"/>
        <v>United States-user</v>
      </c>
      <c r="B40" s="3" t="s">
        <v>42</v>
      </c>
      <c r="C40" s="3" t="s">
        <v>264</v>
      </c>
      <c r="D40" s="3" t="s">
        <v>314</v>
      </c>
      <c r="E40" s="3" t="str">
        <f t="shared" si="3"/>
        <v>US</v>
      </c>
      <c r="F40" s="3" t="s">
        <v>432</v>
      </c>
      <c r="G40" s="3" t="s">
        <v>116</v>
      </c>
      <c r="H40" s="4"/>
      <c r="I40" s="4"/>
      <c r="J40" s="4"/>
      <c r="K40" s="4"/>
      <c r="L40" s="4"/>
    </row>
    <row r="41" spans="1:12">
      <c r="A41" s="3" t="str">
        <f t="shared" si="2"/>
        <v>United States-user</v>
      </c>
      <c r="B41" s="3" t="s">
        <v>42</v>
      </c>
      <c r="C41" s="3" t="s">
        <v>264</v>
      </c>
      <c r="D41" s="3" t="s">
        <v>314</v>
      </c>
      <c r="E41" s="3" t="str">
        <f t="shared" si="3"/>
        <v>US</v>
      </c>
      <c r="F41" s="3" t="s">
        <v>389</v>
      </c>
      <c r="G41" s="3" t="s">
        <v>124</v>
      </c>
      <c r="H41" s="4"/>
      <c r="I41" s="4"/>
      <c r="J41" s="4"/>
      <c r="K41" s="4"/>
      <c r="L41" s="4"/>
    </row>
    <row r="42" spans="1:12">
      <c r="A42" s="3" t="str">
        <f t="shared" si="2"/>
        <v>United States-user</v>
      </c>
      <c r="B42" s="3" t="s">
        <v>42</v>
      </c>
      <c r="C42" s="3" t="s">
        <v>264</v>
      </c>
      <c r="D42" s="3" t="s">
        <v>314</v>
      </c>
      <c r="E42" s="3" t="str">
        <f t="shared" si="3"/>
        <v>US</v>
      </c>
      <c r="F42" s="1" t="s">
        <v>395</v>
      </c>
      <c r="G42" s="3" t="s">
        <v>219</v>
      </c>
      <c r="H42" s="4"/>
      <c r="I42" s="4"/>
      <c r="J42" s="4"/>
      <c r="K42" s="4"/>
      <c r="L42" s="4"/>
    </row>
    <row r="43" spans="1:12">
      <c r="A43" s="3" t="str">
        <f t="shared" si="2"/>
        <v>United States-user</v>
      </c>
      <c r="B43" s="3" t="s">
        <v>42</v>
      </c>
      <c r="C43" s="3" t="s">
        <v>264</v>
      </c>
      <c r="D43" s="3" t="s">
        <v>314</v>
      </c>
      <c r="E43" s="3" t="str">
        <f t="shared" si="3"/>
        <v>US</v>
      </c>
      <c r="F43" s="3" t="s">
        <v>285</v>
      </c>
      <c r="G43" s="3" t="s">
        <v>113</v>
      </c>
      <c r="H43" s="4"/>
      <c r="I43" s="4"/>
      <c r="J43" s="4"/>
      <c r="K43" s="4"/>
      <c r="L43" s="4"/>
    </row>
    <row r="44" spans="1:12">
      <c r="A44" s="3" t="str">
        <f t="shared" si="2"/>
        <v>United States-user</v>
      </c>
      <c r="B44" s="3" t="s">
        <v>42</v>
      </c>
      <c r="C44" s="3" t="s">
        <v>264</v>
      </c>
      <c r="D44" s="3" t="s">
        <v>314</v>
      </c>
      <c r="E44" s="3" t="str">
        <f t="shared" si="3"/>
        <v>US</v>
      </c>
      <c r="F44" s="3" t="s">
        <v>495</v>
      </c>
      <c r="G44" s="3" t="s">
        <v>79</v>
      </c>
      <c r="H44" s="4"/>
      <c r="I44" s="4"/>
      <c r="J44" s="4"/>
      <c r="K44" s="4"/>
      <c r="L44" s="4"/>
    </row>
    <row r="45" spans="1:12">
      <c r="A45" s="3" t="str">
        <f t="shared" si="2"/>
        <v>United States-user</v>
      </c>
      <c r="B45" s="3" t="s">
        <v>42</v>
      </c>
      <c r="C45" s="3" t="s">
        <v>264</v>
      </c>
      <c r="D45" s="3" t="s">
        <v>329</v>
      </c>
      <c r="E45" s="3" t="str">
        <f t="shared" si="3"/>
        <v>US</v>
      </c>
      <c r="F45" s="3" t="s">
        <v>121</v>
      </c>
      <c r="G45" s="3" t="s">
        <v>121</v>
      </c>
      <c r="H45" s="4"/>
      <c r="I45" s="4"/>
      <c r="J45" s="4"/>
      <c r="K45" s="4"/>
      <c r="L45" s="4"/>
    </row>
    <row r="46" spans="1:12">
      <c r="A46" s="3" t="str">
        <f t="shared" si="2"/>
        <v>United States-user</v>
      </c>
      <c r="B46" s="3" t="s">
        <v>42</v>
      </c>
      <c r="C46" s="3" t="s">
        <v>264</v>
      </c>
      <c r="D46" s="3" t="s">
        <v>329</v>
      </c>
      <c r="E46" s="3" t="str">
        <f t="shared" si="3"/>
        <v>US</v>
      </c>
      <c r="F46" s="3" t="s">
        <v>278</v>
      </c>
      <c r="G46" s="3" t="s">
        <v>80</v>
      </c>
      <c r="H46" s="4"/>
      <c r="I46" s="4"/>
      <c r="J46" s="4"/>
      <c r="K46" s="4"/>
      <c r="L46" s="4"/>
    </row>
    <row r="47" spans="1:12">
      <c r="A47" s="3" t="str">
        <f t="shared" si="2"/>
        <v>United States-user</v>
      </c>
      <c r="B47" s="3" t="s">
        <v>42</v>
      </c>
      <c r="C47" s="3" t="s">
        <v>264</v>
      </c>
      <c r="D47" s="3" t="s">
        <v>329</v>
      </c>
      <c r="E47" s="3" t="str">
        <f t="shared" si="3"/>
        <v>US</v>
      </c>
      <c r="F47" s="3" t="s">
        <v>80</v>
      </c>
      <c r="G47" s="3" t="s">
        <v>80</v>
      </c>
      <c r="H47" s="4"/>
      <c r="I47" s="4"/>
      <c r="J47" s="4"/>
      <c r="K47" s="4"/>
      <c r="L47" s="4"/>
    </row>
    <row r="48" spans="1:12">
      <c r="A48" s="3" t="str">
        <f t="shared" si="2"/>
        <v>United States-user</v>
      </c>
      <c r="B48" s="3" t="s">
        <v>42</v>
      </c>
      <c r="C48" s="3" t="s">
        <v>264</v>
      </c>
      <c r="D48" s="3" t="s">
        <v>329</v>
      </c>
      <c r="E48" s="3" t="str">
        <f t="shared" si="3"/>
        <v>US</v>
      </c>
      <c r="F48" s="3" t="s">
        <v>285</v>
      </c>
      <c r="G48" s="3" t="s">
        <v>113</v>
      </c>
      <c r="H48" s="4"/>
      <c r="I48" s="4"/>
      <c r="J48" s="4"/>
      <c r="K48" s="4"/>
      <c r="L48" s="4"/>
    </row>
    <row r="49" spans="1:12">
      <c r="A49" s="3" t="str">
        <f t="shared" si="2"/>
        <v>United States-user</v>
      </c>
      <c r="B49" s="3" t="s">
        <v>42</v>
      </c>
      <c r="C49" s="3" t="s">
        <v>264</v>
      </c>
      <c r="D49" s="3" t="s">
        <v>329</v>
      </c>
      <c r="E49" s="3" t="str">
        <f t="shared" si="3"/>
        <v>US</v>
      </c>
      <c r="F49" s="3" t="s">
        <v>496</v>
      </c>
      <c r="G49" s="3" t="s">
        <v>47</v>
      </c>
      <c r="H49" s="4"/>
      <c r="I49" s="4"/>
      <c r="J49" s="4"/>
      <c r="K49" s="4"/>
      <c r="L49" s="4"/>
    </row>
    <row r="50" spans="1:12">
      <c r="A50" s="3" t="str">
        <f t="shared" si="2"/>
        <v>United States-user</v>
      </c>
      <c r="B50" s="3" t="s">
        <v>42</v>
      </c>
      <c r="C50" s="3" t="s">
        <v>264</v>
      </c>
      <c r="D50" s="3" t="s">
        <v>329</v>
      </c>
      <c r="E50" s="3" t="str">
        <f t="shared" si="3"/>
        <v>US</v>
      </c>
      <c r="F50" s="3" t="s">
        <v>421</v>
      </c>
      <c r="G50" s="3" t="s">
        <v>232</v>
      </c>
      <c r="H50" s="4"/>
      <c r="I50" s="4"/>
      <c r="J50" s="4"/>
      <c r="K50" s="4"/>
      <c r="L50" s="4"/>
    </row>
    <row r="51" spans="1:12">
      <c r="A51" s="3" t="str">
        <f t="shared" si="2"/>
        <v>United States-user</v>
      </c>
      <c r="B51" s="3" t="s">
        <v>42</v>
      </c>
      <c r="C51" s="3" t="s">
        <v>264</v>
      </c>
      <c r="D51" s="3" t="s">
        <v>329</v>
      </c>
      <c r="E51" s="3" t="str">
        <f t="shared" si="3"/>
        <v>US</v>
      </c>
      <c r="F51" s="3" t="s">
        <v>395</v>
      </c>
      <c r="G51" s="3" t="s">
        <v>219</v>
      </c>
      <c r="H51" s="4"/>
      <c r="I51" s="4"/>
      <c r="J51" s="4"/>
      <c r="K51" s="4"/>
      <c r="L51" s="4"/>
    </row>
    <row r="52" spans="1:12">
      <c r="A52" s="3" t="str">
        <f t="shared" si="2"/>
        <v>United States-user</v>
      </c>
      <c r="B52" s="3" t="s">
        <v>42</v>
      </c>
      <c r="C52" s="3" t="s">
        <v>264</v>
      </c>
      <c r="D52" s="3" t="s">
        <v>329</v>
      </c>
      <c r="E52" s="3" t="str">
        <f t="shared" si="3"/>
        <v>US</v>
      </c>
      <c r="F52" s="3" t="s">
        <v>389</v>
      </c>
      <c r="G52" s="3" t="s">
        <v>124</v>
      </c>
      <c r="H52" s="4"/>
      <c r="I52" s="4"/>
      <c r="J52" s="4"/>
      <c r="K52" s="4"/>
      <c r="L52" s="4"/>
    </row>
    <row r="53" spans="1:12">
      <c r="A53" s="3" t="str">
        <f t="shared" si="2"/>
        <v>United States-user</v>
      </c>
      <c r="B53" s="3" t="s">
        <v>42</v>
      </c>
      <c r="C53" s="3" t="s">
        <v>264</v>
      </c>
      <c r="D53" s="3" t="s">
        <v>329</v>
      </c>
      <c r="E53" s="3" t="str">
        <f t="shared" si="3"/>
        <v>US</v>
      </c>
      <c r="F53" s="3" t="s">
        <v>435</v>
      </c>
      <c r="G53" s="3" t="s">
        <v>116</v>
      </c>
      <c r="H53" s="4"/>
      <c r="I53" s="4"/>
      <c r="J53" s="4"/>
      <c r="K53" s="4"/>
      <c r="L53" s="4"/>
    </row>
    <row r="54" spans="1:12">
      <c r="A54" s="3" t="str">
        <f t="shared" si="2"/>
        <v>United States-user</v>
      </c>
      <c r="B54" s="3" t="s">
        <v>42</v>
      </c>
      <c r="C54" s="3" t="s">
        <v>264</v>
      </c>
      <c r="D54" s="3" t="s">
        <v>329</v>
      </c>
      <c r="E54" s="3" t="str">
        <f t="shared" si="3"/>
        <v>US</v>
      </c>
      <c r="F54" s="3" t="s">
        <v>397</v>
      </c>
      <c r="G54" s="3" t="s">
        <v>58</v>
      </c>
      <c r="H54" s="4"/>
      <c r="I54" s="4"/>
      <c r="J54" s="4"/>
      <c r="K54" s="4"/>
      <c r="L54" s="4"/>
    </row>
    <row r="55" spans="1:12">
      <c r="A55" s="3" t="str">
        <f t="shared" si="2"/>
        <v>United States-user</v>
      </c>
      <c r="B55" s="3" t="s">
        <v>42</v>
      </c>
      <c r="C55" s="3" t="s">
        <v>264</v>
      </c>
      <c r="D55" s="3" t="s">
        <v>329</v>
      </c>
      <c r="E55" s="3" t="str">
        <f t="shared" si="3"/>
        <v>US</v>
      </c>
      <c r="F55" s="3" t="s">
        <v>325</v>
      </c>
      <c r="G55" s="3" t="s">
        <v>122</v>
      </c>
      <c r="H55" s="4"/>
      <c r="I55" s="4"/>
      <c r="J55" s="4"/>
      <c r="K55" s="4"/>
      <c r="L55" s="4"/>
    </row>
    <row r="56" spans="1:12">
      <c r="A56" s="3" t="str">
        <f t="shared" si="2"/>
        <v>United States-user</v>
      </c>
      <c r="B56" s="3" t="s">
        <v>42</v>
      </c>
      <c r="C56" s="3" t="s">
        <v>264</v>
      </c>
      <c r="D56" s="3" t="s">
        <v>329</v>
      </c>
      <c r="E56" s="3" t="str">
        <f t="shared" si="3"/>
        <v>US</v>
      </c>
      <c r="F56" s="3" t="s">
        <v>495</v>
      </c>
      <c r="G56" s="3" t="s">
        <v>79</v>
      </c>
      <c r="H56" s="4"/>
      <c r="I56" s="4"/>
      <c r="J56" s="4"/>
      <c r="K56" s="4"/>
      <c r="L56" s="4"/>
    </row>
    <row r="57" spans="1:12">
      <c r="A57" s="3" t="str">
        <f t="shared" si="2"/>
        <v>United States-user</v>
      </c>
      <c r="B57" s="3" t="s">
        <v>42</v>
      </c>
      <c r="C57" s="3" t="s">
        <v>264</v>
      </c>
      <c r="D57" s="3" t="s">
        <v>329</v>
      </c>
      <c r="E57" s="3" t="str">
        <f t="shared" si="3"/>
        <v>US</v>
      </c>
      <c r="F57" s="3" t="s">
        <v>338</v>
      </c>
      <c r="G57" s="3" t="s">
        <v>117</v>
      </c>
      <c r="H57" s="4"/>
      <c r="I57" s="4"/>
      <c r="J57" s="4"/>
      <c r="K57" s="4"/>
      <c r="L57" s="4"/>
    </row>
    <row r="58" spans="1:12">
      <c r="A58" s="3" t="str">
        <f t="shared" si="2"/>
        <v>United States-user</v>
      </c>
      <c r="B58" s="3" t="s">
        <v>42</v>
      </c>
      <c r="C58" s="3" t="s">
        <v>264</v>
      </c>
      <c r="D58" s="3" t="s">
        <v>329</v>
      </c>
      <c r="E58" s="3" t="str">
        <f t="shared" si="3"/>
        <v>US</v>
      </c>
      <c r="F58" s="3" t="s">
        <v>490</v>
      </c>
      <c r="G58" s="3" t="s">
        <v>100</v>
      </c>
      <c r="H58" s="4"/>
      <c r="I58" s="4"/>
      <c r="J58" s="4"/>
      <c r="K58" s="4"/>
      <c r="L58" s="4"/>
    </row>
    <row r="59" spans="1:12">
      <c r="A59" s="3" t="str">
        <f t="shared" si="2"/>
        <v>United States-user</v>
      </c>
      <c r="B59" s="3" t="s">
        <v>42</v>
      </c>
      <c r="C59" s="3" t="s">
        <v>264</v>
      </c>
      <c r="D59" s="3" t="s">
        <v>329</v>
      </c>
      <c r="E59" s="3" t="str">
        <f t="shared" si="3"/>
        <v>US</v>
      </c>
      <c r="F59" s="3" t="s">
        <v>290</v>
      </c>
      <c r="G59" s="3" t="s">
        <v>85</v>
      </c>
      <c r="H59" s="4"/>
      <c r="I59" s="4"/>
      <c r="J59" s="4"/>
      <c r="K59" s="4"/>
      <c r="L59" s="4"/>
    </row>
    <row r="60" spans="1:12">
      <c r="A60" s="3" t="str">
        <f t="shared" si="2"/>
        <v>United States-user</v>
      </c>
      <c r="B60" s="3" t="s">
        <v>42</v>
      </c>
      <c r="C60" s="3" t="s">
        <v>264</v>
      </c>
      <c r="D60" s="3" t="s">
        <v>329</v>
      </c>
      <c r="E60" s="3" t="str">
        <f t="shared" si="3"/>
        <v>US</v>
      </c>
      <c r="F60" s="3" t="s">
        <v>281</v>
      </c>
      <c r="G60" s="3" t="s">
        <v>121</v>
      </c>
      <c r="H60" s="4"/>
      <c r="I60" s="4"/>
      <c r="J60" s="4"/>
      <c r="K60" s="4"/>
      <c r="L60" s="4"/>
    </row>
    <row r="61" spans="1:12">
      <c r="A61" s="3" t="str">
        <f t="shared" si="2"/>
        <v>United States-user</v>
      </c>
      <c r="B61" s="3" t="s">
        <v>42</v>
      </c>
      <c r="C61" s="3" t="s">
        <v>264</v>
      </c>
      <c r="D61" s="3" t="s">
        <v>329</v>
      </c>
      <c r="E61" s="3" t="str">
        <f t="shared" si="3"/>
        <v>US</v>
      </c>
      <c r="F61" s="3" t="s">
        <v>432</v>
      </c>
      <c r="G61" s="3" t="s">
        <v>116</v>
      </c>
      <c r="H61" s="4"/>
      <c r="I61" s="4"/>
      <c r="J61" s="4"/>
      <c r="K61" s="4"/>
      <c r="L61" s="4"/>
    </row>
    <row r="62" spans="1:12">
      <c r="A62" s="3" t="str">
        <f t="shared" si="2"/>
        <v>United States-user</v>
      </c>
      <c r="B62" s="3" t="s">
        <v>42</v>
      </c>
      <c r="C62" s="3" t="s">
        <v>264</v>
      </c>
      <c r="D62" s="3" t="s">
        <v>329</v>
      </c>
      <c r="E62" s="3" t="str">
        <f t="shared" si="3"/>
        <v>US</v>
      </c>
      <c r="F62" s="3" t="s">
        <v>486</v>
      </c>
      <c r="G62" s="3" t="s">
        <v>116</v>
      </c>
      <c r="H62" s="4"/>
      <c r="I62" s="4"/>
      <c r="J62" s="4"/>
      <c r="K62" s="4"/>
      <c r="L62" s="4"/>
    </row>
    <row r="63" spans="1:12">
      <c r="A63" s="3" t="str">
        <f t="shared" si="2"/>
        <v>United States-user</v>
      </c>
      <c r="B63" s="3" t="s">
        <v>42</v>
      </c>
      <c r="C63" s="3" t="s">
        <v>264</v>
      </c>
      <c r="D63" s="3" t="s">
        <v>329</v>
      </c>
      <c r="E63" s="3" t="str">
        <f t="shared" si="3"/>
        <v>US</v>
      </c>
      <c r="F63" s="3" t="s">
        <v>390</v>
      </c>
      <c r="G63" s="3" t="s">
        <v>124</v>
      </c>
      <c r="H63" s="4"/>
      <c r="I63" s="4"/>
      <c r="J63" s="4"/>
      <c r="K63" s="4"/>
      <c r="L63" s="4"/>
    </row>
    <row r="64" spans="1:12">
      <c r="A64" s="3" t="str">
        <f t="shared" si="2"/>
        <v>United States-user</v>
      </c>
      <c r="B64" s="3" t="s">
        <v>42</v>
      </c>
      <c r="C64" s="3" t="s">
        <v>264</v>
      </c>
      <c r="D64" s="3" t="s">
        <v>329</v>
      </c>
      <c r="E64" s="3" t="str">
        <f t="shared" si="3"/>
        <v>US</v>
      </c>
      <c r="F64" s="3" t="s">
        <v>400</v>
      </c>
      <c r="G64" s="3" t="s">
        <v>95</v>
      </c>
      <c r="H64" s="4"/>
      <c r="I64" s="4"/>
      <c r="J64" s="4"/>
      <c r="K64" s="4"/>
      <c r="L64" s="4"/>
    </row>
    <row r="65" spans="1:12">
      <c r="A65" s="4" t="s">
        <v>419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3" t="str">
        <f t="shared" ref="A65:A87" si="4">C68&amp;"-"&amp;B68</f>
        <v>United States-user</v>
      </c>
      <c r="B68" s="3" t="s">
        <v>42</v>
      </c>
      <c r="C68" s="3" t="s">
        <v>264</v>
      </c>
      <c r="D68" s="4" t="s">
        <v>197</v>
      </c>
      <c r="E68" s="4"/>
      <c r="F68" s="4"/>
      <c r="G68" t="s">
        <v>47</v>
      </c>
      <c r="H68" s="8">
        <v>1</v>
      </c>
      <c r="I68" s="8"/>
      <c r="J68" s="8"/>
      <c r="K68" s="8" t="s">
        <v>24</v>
      </c>
      <c r="L68" s="8" t="s">
        <v>25</v>
      </c>
    </row>
    <row r="69" spans="1:12">
      <c r="A69" s="3" t="str">
        <f t="shared" si="4"/>
        <v>United States-user</v>
      </c>
      <c r="B69" s="3" t="s">
        <v>42</v>
      </c>
      <c r="C69" s="3" t="s">
        <v>264</v>
      </c>
      <c r="D69" s="4"/>
      <c r="E69" s="4"/>
      <c r="F69" s="4"/>
      <c r="G69" t="s">
        <v>58</v>
      </c>
      <c r="H69" s="8">
        <v>1</v>
      </c>
      <c r="I69" s="8"/>
      <c r="J69" s="8"/>
      <c r="K69" s="8" t="s">
        <v>24</v>
      </c>
      <c r="L69" s="8" t="s">
        <v>55</v>
      </c>
    </row>
    <row r="70" spans="1:12">
      <c r="A70" s="3" t="str">
        <f t="shared" si="4"/>
        <v>United States-user</v>
      </c>
      <c r="B70" s="3" t="s">
        <v>42</v>
      </c>
      <c r="C70" s="3" t="s">
        <v>264</v>
      </c>
      <c r="D70" s="4"/>
      <c r="E70" s="4"/>
      <c r="F70" s="4"/>
      <c r="G70" t="s">
        <v>79</v>
      </c>
      <c r="H70" s="8">
        <v>1</v>
      </c>
      <c r="I70" s="8"/>
      <c r="J70" s="8"/>
      <c r="K70" s="8" t="s">
        <v>24</v>
      </c>
      <c r="L70" s="8" t="s">
        <v>25</v>
      </c>
    </row>
    <row r="71" spans="1:12">
      <c r="A71" s="3" t="str">
        <f t="shared" si="4"/>
        <v>United States-user</v>
      </c>
      <c r="B71" s="3" t="s">
        <v>42</v>
      </c>
      <c r="C71" s="3" t="s">
        <v>264</v>
      </c>
      <c r="D71" s="4"/>
      <c r="E71" s="4"/>
      <c r="F71" s="4"/>
      <c r="G71" t="s">
        <v>80</v>
      </c>
      <c r="H71" s="8">
        <v>1</v>
      </c>
      <c r="I71" s="8"/>
      <c r="J71" s="8"/>
      <c r="K71" s="8" t="s">
        <v>24</v>
      </c>
      <c r="L71" s="8" t="s">
        <v>25</v>
      </c>
    </row>
    <row r="72" spans="1:12">
      <c r="A72" s="3" t="str">
        <f t="shared" si="4"/>
        <v>United States-user</v>
      </c>
      <c r="B72" s="3" t="s">
        <v>42</v>
      </c>
      <c r="C72" s="3" t="s">
        <v>264</v>
      </c>
      <c r="D72" s="4"/>
      <c r="E72" s="4"/>
      <c r="F72" s="4"/>
      <c r="G72" t="s">
        <v>85</v>
      </c>
      <c r="H72" s="8">
        <v>1</v>
      </c>
      <c r="I72" s="8"/>
      <c r="J72" s="8"/>
      <c r="K72" s="8" t="s">
        <v>199</v>
      </c>
      <c r="L72" s="8" t="s">
        <v>200</v>
      </c>
    </row>
    <row r="73" spans="1:12">
      <c r="A73" s="3" t="str">
        <f t="shared" si="4"/>
        <v>United States-user</v>
      </c>
      <c r="B73" s="3" t="s">
        <v>42</v>
      </c>
      <c r="C73" s="3" t="s">
        <v>264</v>
      </c>
      <c r="D73" s="4"/>
      <c r="E73" s="4"/>
      <c r="F73" s="4"/>
      <c r="G73" t="s">
        <v>95</v>
      </c>
      <c r="H73" s="8">
        <v>1</v>
      </c>
      <c r="I73" s="8"/>
      <c r="J73" s="8"/>
      <c r="K73" s="8" t="s">
        <v>24</v>
      </c>
      <c r="L73" s="8" t="s">
        <v>55</v>
      </c>
    </row>
    <row r="74" spans="1:12">
      <c r="A74" s="3" t="str">
        <f t="shared" si="4"/>
        <v>United States-user</v>
      </c>
      <c r="B74" s="3" t="s">
        <v>42</v>
      </c>
      <c r="C74" s="3" t="s">
        <v>264</v>
      </c>
      <c r="D74" s="4"/>
      <c r="E74" s="4"/>
      <c r="F74" s="4"/>
      <c r="G74" t="s">
        <v>100</v>
      </c>
      <c r="H74" s="8">
        <v>1</v>
      </c>
      <c r="I74" s="8"/>
      <c r="J74" s="8"/>
      <c r="K74" s="8" t="s">
        <v>199</v>
      </c>
      <c r="L74" s="8" t="s">
        <v>200</v>
      </c>
    </row>
    <row r="75" spans="1:12">
      <c r="A75" s="3" t="str">
        <f t="shared" si="4"/>
        <v>United States-user</v>
      </c>
      <c r="B75" s="3" t="s">
        <v>42</v>
      </c>
      <c r="C75" s="3" t="s">
        <v>264</v>
      </c>
      <c r="D75" s="4"/>
      <c r="E75" s="4"/>
      <c r="F75" s="4"/>
      <c r="G75" t="s">
        <v>107</v>
      </c>
      <c r="H75" s="8">
        <v>1</v>
      </c>
      <c r="I75" s="8"/>
      <c r="J75" s="8"/>
      <c r="K75" s="8" t="s">
        <v>199</v>
      </c>
      <c r="L75" s="8" t="s">
        <v>200</v>
      </c>
    </row>
    <row r="76" spans="1:12">
      <c r="A76" s="3" t="str">
        <f t="shared" si="4"/>
        <v>United States-user</v>
      </c>
      <c r="B76" s="3" t="s">
        <v>42</v>
      </c>
      <c r="C76" s="3" t="s">
        <v>264</v>
      </c>
      <c r="D76" s="4"/>
      <c r="E76" s="4"/>
      <c r="F76" s="4"/>
      <c r="G76" t="s">
        <v>232</v>
      </c>
      <c r="H76" s="8">
        <v>1</v>
      </c>
      <c r="I76" s="8"/>
      <c r="J76" s="8"/>
      <c r="K76" s="8" t="s">
        <v>199</v>
      </c>
      <c r="L76" s="8" t="s">
        <v>200</v>
      </c>
    </row>
    <row r="77" spans="1:12">
      <c r="A77" s="3" t="str">
        <f t="shared" si="4"/>
        <v>United States-user</v>
      </c>
      <c r="B77" s="3" t="s">
        <v>42</v>
      </c>
      <c r="C77" s="3" t="s">
        <v>264</v>
      </c>
      <c r="D77" s="4"/>
      <c r="E77" s="4"/>
      <c r="F77" s="4"/>
      <c r="G77" t="s">
        <v>113</v>
      </c>
      <c r="H77" s="8">
        <v>1</v>
      </c>
      <c r="I77" s="8"/>
      <c r="J77" s="8"/>
      <c r="K77" s="8" t="s">
        <v>24</v>
      </c>
      <c r="L77" s="8" t="s">
        <v>25</v>
      </c>
    </row>
    <row r="78" spans="1:12">
      <c r="A78" s="3" t="str">
        <f t="shared" si="4"/>
        <v>United States-user</v>
      </c>
      <c r="B78" s="3" t="s">
        <v>42</v>
      </c>
      <c r="C78" s="3" t="s">
        <v>264</v>
      </c>
      <c r="D78" s="4"/>
      <c r="E78" s="4"/>
      <c r="F78" s="4"/>
      <c r="G78" t="s">
        <v>116</v>
      </c>
      <c r="H78" s="8">
        <v>1</v>
      </c>
      <c r="I78" s="8"/>
      <c r="J78" s="8"/>
      <c r="K78" s="8" t="s">
        <v>24</v>
      </c>
      <c r="L78" s="8" t="s">
        <v>25</v>
      </c>
    </row>
    <row r="79" spans="1:12">
      <c r="A79" s="3" t="str">
        <f t="shared" si="4"/>
        <v>United States-user</v>
      </c>
      <c r="B79" s="3" t="s">
        <v>42</v>
      </c>
      <c r="C79" s="3" t="s">
        <v>264</v>
      </c>
      <c r="D79" s="4"/>
      <c r="E79" s="4"/>
      <c r="F79" s="4"/>
      <c r="G79" t="s">
        <v>117</v>
      </c>
      <c r="H79" s="8" t="s">
        <v>217</v>
      </c>
      <c r="I79" s="7">
        <v>34426</v>
      </c>
      <c r="J79" s="7" t="s">
        <v>48</v>
      </c>
      <c r="K79" s="8"/>
      <c r="L79" s="8"/>
    </row>
    <row r="80" spans="1:12">
      <c r="A80" s="3" t="str">
        <f t="shared" si="4"/>
        <v>United States-user</v>
      </c>
      <c r="B80" s="3" t="s">
        <v>42</v>
      </c>
      <c r="C80" s="3" t="s">
        <v>264</v>
      </c>
      <c r="D80" s="4"/>
      <c r="E80" s="4"/>
      <c r="F80" s="4"/>
      <c r="G80" t="s">
        <v>118</v>
      </c>
      <c r="H80" s="8">
        <v>1</v>
      </c>
      <c r="I80" s="8"/>
      <c r="J80" s="8"/>
      <c r="K80" s="8" t="s">
        <v>199</v>
      </c>
      <c r="L80" s="8" t="s">
        <v>200</v>
      </c>
    </row>
    <row r="81" spans="1:12">
      <c r="A81" s="3" t="str">
        <f t="shared" si="4"/>
        <v>United States-user</v>
      </c>
      <c r="B81" s="3" t="s">
        <v>42</v>
      </c>
      <c r="C81" s="3" t="s">
        <v>264</v>
      </c>
      <c r="D81" s="4"/>
      <c r="E81" s="4"/>
      <c r="F81" s="4"/>
      <c r="G81" t="s">
        <v>121</v>
      </c>
      <c r="H81" s="8">
        <v>1</v>
      </c>
      <c r="I81" s="8"/>
      <c r="J81" s="8"/>
      <c r="K81" s="8" t="s">
        <v>24</v>
      </c>
      <c r="L81" s="8" t="s">
        <v>25</v>
      </c>
    </row>
    <row r="82" spans="1:12">
      <c r="A82" s="3" t="str">
        <f t="shared" si="4"/>
        <v>United States-user</v>
      </c>
      <c r="B82" s="3" t="s">
        <v>42</v>
      </c>
      <c r="C82" s="3" t="s">
        <v>264</v>
      </c>
      <c r="D82" s="4"/>
      <c r="E82" s="4"/>
      <c r="F82" s="4"/>
      <c r="G82" t="s">
        <v>122</v>
      </c>
      <c r="H82" s="8">
        <v>1</v>
      </c>
      <c r="I82" s="8"/>
      <c r="J82" s="8"/>
      <c r="K82" s="8" t="s">
        <v>24</v>
      </c>
      <c r="L82" s="8" t="s">
        <v>55</v>
      </c>
    </row>
    <row r="83" spans="1:12">
      <c r="A83" s="3" t="str">
        <f t="shared" si="4"/>
        <v>United States-user</v>
      </c>
      <c r="B83" s="3" t="s">
        <v>42</v>
      </c>
      <c r="C83" s="3" t="s">
        <v>264</v>
      </c>
      <c r="D83" s="4"/>
      <c r="E83" s="4"/>
      <c r="F83" s="4"/>
      <c r="G83" t="s">
        <v>246</v>
      </c>
      <c r="H83" s="8">
        <v>1</v>
      </c>
      <c r="I83" s="8"/>
      <c r="J83" s="8"/>
      <c r="K83" s="8" t="s">
        <v>199</v>
      </c>
      <c r="L83" s="8" t="s">
        <v>200</v>
      </c>
    </row>
    <row r="84" spans="1:12">
      <c r="A84" s="3" t="str">
        <f t="shared" si="4"/>
        <v>United States-user</v>
      </c>
      <c r="B84" s="3" t="s">
        <v>42</v>
      </c>
      <c r="C84" s="3" t="s">
        <v>264</v>
      </c>
      <c r="D84" s="4"/>
      <c r="E84" s="4"/>
      <c r="F84" s="4"/>
      <c r="G84" t="s">
        <v>219</v>
      </c>
      <c r="H84" s="8" t="s">
        <v>217</v>
      </c>
      <c r="I84" s="8" t="s">
        <v>247</v>
      </c>
      <c r="J84" s="8" t="s">
        <v>48</v>
      </c>
      <c r="K84" s="8"/>
      <c r="L84" s="8"/>
    </row>
    <row r="85" spans="1:12">
      <c r="A85" s="3" t="str">
        <f t="shared" si="4"/>
        <v>United States-user</v>
      </c>
      <c r="B85" s="3" t="s">
        <v>42</v>
      </c>
      <c r="C85" s="3" t="s">
        <v>264</v>
      </c>
      <c r="D85" s="4"/>
      <c r="E85" s="4"/>
      <c r="F85" s="4"/>
      <c r="G85" t="s">
        <v>123</v>
      </c>
      <c r="H85" s="8">
        <v>1</v>
      </c>
      <c r="I85" s="8"/>
      <c r="J85" s="8"/>
      <c r="K85" s="8" t="s">
        <v>24</v>
      </c>
      <c r="L85" s="8" t="s">
        <v>55</v>
      </c>
    </row>
    <row r="86" spans="1:12">
      <c r="A86" s="3" t="str">
        <f t="shared" si="4"/>
        <v>United States-user</v>
      </c>
      <c r="B86" s="3" t="s">
        <v>42</v>
      </c>
      <c r="C86" s="3" t="s">
        <v>264</v>
      </c>
      <c r="D86" s="4"/>
      <c r="E86" s="4"/>
      <c r="F86" s="4"/>
      <c r="G86" t="s">
        <v>124</v>
      </c>
      <c r="H86" s="8">
        <v>1</v>
      </c>
      <c r="I86" s="8"/>
      <c r="J86" s="8"/>
      <c r="K86" s="8" t="s">
        <v>24</v>
      </c>
      <c r="L86" s="8" t="s">
        <v>25</v>
      </c>
    </row>
    <row r="87" spans="1:12">
      <c r="A87" s="3" t="str">
        <f t="shared" si="4"/>
        <v>United States-user</v>
      </c>
      <c r="B87" s="3" t="s">
        <v>42</v>
      </c>
      <c r="C87" s="3" t="s">
        <v>264</v>
      </c>
      <c r="D87" s="4"/>
      <c r="E87" s="4"/>
      <c r="F87" s="4"/>
      <c r="G87" t="s">
        <v>235</v>
      </c>
      <c r="H87" s="8">
        <v>1</v>
      </c>
      <c r="I87" s="8"/>
      <c r="J87" s="8"/>
      <c r="K87" s="8" t="s">
        <v>199</v>
      </c>
      <c r="L87" s="8" t="s">
        <v>200</v>
      </c>
    </row>
    <row r="92" ht="32" customHeight="1"/>
    <row r="128" spans="6:7">
      <c r="F128" s="1"/>
      <c r="G128" s="1"/>
    </row>
    <row r="138" spans="6:7">
      <c r="G138" s="2"/>
    </row>
    <row r="139" spans="6:7">
      <c r="F139" s="3"/>
      <c r="G139" s="3"/>
    </row>
    <row r="140" spans="6:7">
      <c r="F140" s="3"/>
      <c r="G140" s="3"/>
    </row>
    <row r="141" spans="6:7">
      <c r="F141" s="3"/>
      <c r="G141" s="3"/>
    </row>
    <row r="142" spans="6:7">
      <c r="F142" s="3"/>
      <c r="G142" s="3"/>
    </row>
    <row r="143" spans="6:7">
      <c r="F143" s="3"/>
      <c r="G143" s="3"/>
    </row>
    <row r="144" spans="6:7">
      <c r="F144" s="3"/>
      <c r="G144" s="3"/>
    </row>
    <row r="145" spans="6:7">
      <c r="F145" s="3"/>
      <c r="G145" s="3"/>
    </row>
    <row r="146" spans="6:7">
      <c r="F146" s="3"/>
      <c r="G146" s="3"/>
    </row>
    <row r="147" spans="6:7">
      <c r="F147" s="3"/>
      <c r="G147" s="3"/>
    </row>
    <row r="148" spans="6:7">
      <c r="F148" s="3"/>
      <c r="G148" s="3"/>
    </row>
    <row r="149" spans="6:7">
      <c r="F149" s="3"/>
      <c r="G149" s="3"/>
    </row>
    <row r="150" spans="6:7">
      <c r="F150" s="3"/>
      <c r="G150" s="3"/>
    </row>
    <row r="151" spans="6:7">
      <c r="F151" s="3"/>
      <c r="G151" s="3"/>
    </row>
    <row r="152" spans="6:7">
      <c r="F152" s="3"/>
      <c r="G152" s="3"/>
    </row>
    <row r="153" spans="6:7">
      <c r="F153" s="3"/>
      <c r="G153" s="3"/>
    </row>
    <row r="154" spans="6:7">
      <c r="F154" s="3"/>
      <c r="G154" s="3"/>
    </row>
    <row r="155" spans="6:7">
      <c r="F155" s="3"/>
      <c r="G155" s="3"/>
    </row>
    <row r="156" spans="6:7">
      <c r="F156" s="3"/>
      <c r="G156" s="3"/>
    </row>
    <row r="157" spans="6:7">
      <c r="F157" s="3"/>
      <c r="G157" s="3"/>
    </row>
    <row r="158" spans="6:7">
      <c r="F158" s="3"/>
      <c r="G158" s="3"/>
    </row>
    <row r="159" spans="6:7">
      <c r="F159" s="3"/>
      <c r="G159" s="3"/>
    </row>
    <row r="160" spans="6:7">
      <c r="F160" s="3"/>
      <c r="G160" s="3"/>
    </row>
    <row r="161" spans="6:7">
      <c r="F161" s="3"/>
      <c r="G161" s="3"/>
    </row>
    <row r="162" spans="6:7">
      <c r="F162" s="3"/>
      <c r="G162" s="3"/>
    </row>
    <row r="163" spans="6:7">
      <c r="F163" s="3"/>
      <c r="G163" s="3"/>
    </row>
    <row r="164" spans="6:7">
      <c r="F164" s="3"/>
      <c r="G164" s="3"/>
    </row>
    <row r="165" spans="6:7">
      <c r="F165" s="3"/>
      <c r="G165" s="3"/>
    </row>
    <row r="166" spans="6:7">
      <c r="F166" s="3"/>
      <c r="G166" s="3"/>
    </row>
    <row r="167" spans="6:7">
      <c r="F167" s="3"/>
      <c r="G167" s="3"/>
    </row>
    <row r="168" spans="6:7">
      <c r="F168" s="3"/>
      <c r="G168" s="3"/>
    </row>
    <row r="169" spans="6:7">
      <c r="F169" s="3"/>
      <c r="G169" s="3"/>
    </row>
    <row r="170" spans="6:7">
      <c r="F170" s="3"/>
      <c r="G170" s="3"/>
    </row>
    <row r="171" spans="6:7">
      <c r="F171" s="3"/>
      <c r="G171" s="3"/>
    </row>
    <row r="172" spans="6:7">
      <c r="F172" s="3"/>
      <c r="G172" s="3"/>
    </row>
    <row r="173" spans="6:7">
      <c r="F173" s="3"/>
      <c r="G173" s="3"/>
    </row>
    <row r="174" spans="6:7">
      <c r="F174" s="3"/>
      <c r="G174" s="3"/>
    </row>
    <row r="175" spans="6:7">
      <c r="F175" s="3"/>
      <c r="G175" s="3"/>
    </row>
    <row r="176" spans="6:7">
      <c r="F176" s="3"/>
      <c r="G176" s="3"/>
    </row>
    <row r="177" spans="6:7">
      <c r="F177" s="3"/>
      <c r="G177" s="3"/>
    </row>
    <row r="178" spans="6:7">
      <c r="F178" s="3"/>
      <c r="G178" s="3"/>
    </row>
    <row r="179" spans="6:7">
      <c r="F179" s="3"/>
      <c r="G179" s="3"/>
    </row>
    <row r="180" spans="6:7">
      <c r="F180" s="3"/>
      <c r="G180" s="3"/>
    </row>
    <row r="181" spans="6:7">
      <c r="F181" s="3"/>
      <c r="G181" s="3"/>
    </row>
    <row r="184" spans="6:7">
      <c r="F184" s="1"/>
      <c r="G184" s="1"/>
    </row>
    <row r="191" spans="6:7">
      <c r="F191" s="1"/>
      <c r="G191" s="1"/>
    </row>
    <row r="199" spans="6:7">
      <c r="F199" s="1"/>
      <c r="G199" s="1"/>
    </row>
    <row r="201" spans="6:7">
      <c r="F201" s="1"/>
      <c r="G201" s="1"/>
    </row>
    <row r="202" spans="6:7">
      <c r="F202" s="1"/>
      <c r="G202" s="1"/>
    </row>
    <row r="211" spans="6:7">
      <c r="F211" s="1"/>
      <c r="G211" s="1"/>
    </row>
    <row r="212" spans="6:7">
      <c r="F212" s="1"/>
      <c r="G212" s="1"/>
    </row>
    <row r="213" spans="6:7">
      <c r="F213" s="1"/>
      <c r="G213" s="1"/>
    </row>
    <row r="216" spans="6:7">
      <c r="F216" s="1"/>
      <c r="G216" s="1"/>
    </row>
    <row r="219" spans="6:7">
      <c r="F219" s="1"/>
      <c r="G219" s="1"/>
    </row>
    <row r="221" spans="6:7">
      <c r="F221" s="1"/>
      <c r="G221" s="1"/>
    </row>
    <row r="224" spans="6:7">
      <c r="F224" s="1"/>
      <c r="G224" s="1"/>
    </row>
    <row r="234" spans="6:7">
      <c r="F234" s="1"/>
      <c r="G234" s="1"/>
    </row>
    <row r="236" spans="6:7">
      <c r="F236" s="1"/>
      <c r="G236" s="1"/>
    </row>
    <row r="248" spans="6:7">
      <c r="F248" s="1"/>
      <c r="G248" s="1"/>
    </row>
    <row r="261" spans="6:7">
      <c r="F261" s="1"/>
      <c r="G261" s="1"/>
    </row>
    <row r="269" spans="6:7">
      <c r="F269" s="1"/>
      <c r="G269" s="1"/>
    </row>
    <row r="278" spans="6:7">
      <c r="F278" s="1"/>
      <c r="G278" s="1"/>
    </row>
    <row r="279" spans="6:7">
      <c r="F279" s="1"/>
      <c r="G279" s="1"/>
    </row>
    <row r="282" spans="6:7">
      <c r="F282" s="1"/>
      <c r="G282" s="1"/>
    </row>
    <row r="283" spans="6:7">
      <c r="F283" s="1"/>
      <c r="G283" s="1"/>
    </row>
    <row r="290" spans="6:7">
      <c r="F290" s="3"/>
      <c r="G290" s="3"/>
    </row>
    <row r="291" spans="6:7">
      <c r="F291" s="3"/>
      <c r="G291" s="3"/>
    </row>
    <row r="292" spans="6:7">
      <c r="F292" s="3"/>
      <c r="G292" s="3"/>
    </row>
    <row r="293" spans="6:7">
      <c r="F293" s="3"/>
      <c r="G293" s="3"/>
    </row>
    <row r="294" spans="6:7">
      <c r="F294" s="3"/>
      <c r="G294" s="3"/>
    </row>
    <row r="295" spans="6:7">
      <c r="F295" s="3"/>
      <c r="G295" s="3"/>
    </row>
    <row r="296" spans="6:7">
      <c r="F296" s="3"/>
      <c r="G296" s="3"/>
    </row>
    <row r="297" spans="6:7">
      <c r="F297" s="3"/>
      <c r="G297" s="3"/>
    </row>
    <row r="298" spans="6:7">
      <c r="F298" s="3"/>
      <c r="G298" s="3"/>
    </row>
    <row r="299" spans="6:7">
      <c r="F299" s="3"/>
      <c r="G299" s="3"/>
    </row>
    <row r="300" spans="6:7">
      <c r="F300" s="3"/>
      <c r="G300" s="3"/>
    </row>
    <row r="301" spans="6:7">
      <c r="F301" s="3"/>
      <c r="G301" s="3"/>
    </row>
    <row r="302" spans="6:7">
      <c r="F302" s="3"/>
      <c r="G302" s="3"/>
    </row>
    <row r="303" spans="6:7">
      <c r="F303" s="3"/>
      <c r="G303" s="3"/>
    </row>
    <row r="304" spans="6:7">
      <c r="F304" s="3"/>
      <c r="G304" s="3"/>
    </row>
    <row r="305" spans="6:7">
      <c r="F305" s="3"/>
      <c r="G305" s="3"/>
    </row>
    <row r="306" spans="6:7">
      <c r="F306" s="3"/>
      <c r="G306" s="3"/>
    </row>
    <row r="307" spans="6:7">
      <c r="F307" s="3"/>
      <c r="G307" s="3"/>
    </row>
    <row r="308" spans="6:7">
      <c r="F308" s="3"/>
      <c r="G308" s="3"/>
    </row>
    <row r="309" spans="6:7">
      <c r="F309" s="3"/>
    </row>
    <row r="310" spans="6:7">
      <c r="F310" s="3"/>
      <c r="G310" s="3"/>
    </row>
    <row r="311" spans="6:7">
      <c r="F311" s="3"/>
      <c r="G311" s="3"/>
    </row>
    <row r="312" spans="6:7">
      <c r="F312" s="3"/>
      <c r="G312" s="3"/>
    </row>
    <row r="313" spans="6:7">
      <c r="F313" s="3"/>
      <c r="G313" s="3"/>
    </row>
    <row r="314" spans="6:7">
      <c r="F314" s="3"/>
      <c r="G314" s="3"/>
    </row>
  </sheetData>
  <autoFilter xmlns:etc="http://www.wps.cn/officeDocument/2017/etCustomData" ref="A1:L87" etc:filterBottomFollowUsedRange="0">
    <extLst/>
  </autoFilter>
  <mergeCells count="3">
    <mergeCell ref="H3:L64"/>
    <mergeCell ref="A65:L67"/>
    <mergeCell ref="D68:F87"/>
  </mergeCells>
  <dataValidations count="6">
    <dataValidation allowBlank="1" showInputMessage="1" showErrorMessage="1" promptTitle="注意，此处是初步标签" prompt="注意，此处是初步标签" sqref="F1 F216:G216 F230:G230 F238:G238 F239 F240:G240 F250:G250 G262 F267:G267 F274:G274 F282:G282 F304:G304 F308:G308 F3:F215 F217:F229 F231:F237 F241:F249 F251:F254 F256:F261 F263:F266 F268:F273 F275:F281 F290:F303 F305:F307 F309:F1048576"/>
    <dataValidation allowBlank="1" showInputMessage="1" showErrorMessage="1" promptTitle="注意，这个是研判后标签" prompt="注意，这个是研判后标签" sqref="G1 G239 G284 G3:G64 G88:G215 G217:G229 G231:G237 G241:G249 G251:G261 G263:G266 G268:G273 G275:G281 G290:G303 G305:G307 G309:G1048576"/>
    <dataValidation type="list" allowBlank="1" showInputMessage="1" showErrorMessage="1" sqref="B3:B1048576">
      <formula1>"user,worker,tech,gov"</formula1>
    </dataValidation>
    <dataValidation type="list" allowBlank="1" showInputMessage="1" showErrorMessage="1" sqref="C3:C1048576">
      <formula1>"P.R. China,United States,European Union,Kenya"</formula1>
    </dataValidation>
    <dataValidation type="list" allowBlank="1" showInputMessage="1" showErrorMessage="1" sqref="D3:D64 D88:D1048576">
      <formula1>"DeepSeek Reasoner V3.2,OpenAI ChatGPT 5.4 Pro,Google Gemini 3.1 Pro Preview,Doubao Seed 2.0 Pro"</formula1>
    </dataValidation>
    <dataValidation type="list" allowBlank="1" showInputMessage="1" showErrorMessage="1" sqref="L3:L1048576">
      <formula1>"1(4/4),0.75(3/4),0.6(2/4+votepass),0.4(2/4+votedenied),0.25(1/4)"</formula1>
    </dataValidation>
  </dataValidations>
  <pageMargins left="0.75" right="0.75" top="1" bottom="1" header="0.5" footer="0.5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3"/>
  <sheetViews>
    <sheetView zoomScale="70" zoomScaleNormal="70" workbookViewId="0">
      <pane ySplit="2" topLeftCell="A3" activePane="bottomLeft" state="frozen"/>
      <selection/>
      <selection pane="bottomLeft" activeCell="H62" sqref="G3:H62"/>
    </sheetView>
  </sheetViews>
  <sheetFormatPr defaultColWidth="8.61261261261261" defaultRowHeight="14.1"/>
  <cols>
    <col min="1" max="1" width="20.7117117117117" customWidth="1"/>
    <col min="2" max="2" width="11.7027027027027" customWidth="1"/>
    <col min="3" max="3" width="19.5495495495495" customWidth="1"/>
    <col min="4" max="4" width="25.1621621621622" customWidth="1"/>
    <col min="5" max="5" width="9.46846846846847" customWidth="1"/>
    <col min="6" max="6" width="12.8558558558559" customWidth="1"/>
    <col min="7" max="7" width="30.4144144144144" customWidth="1"/>
    <col min="8" max="8" width="34.0810810810811" customWidth="1"/>
    <col min="9" max="9" width="11.7027027027027" customWidth="1"/>
    <col min="10" max="10" width="13.9369369369369" customWidth="1"/>
    <col min="11" max="11" width="11.7027027027027" customWidth="1"/>
    <col min="12" max="12" width="20.7117117117117" customWidth="1"/>
    <col min="13" max="13" width="17.3243243243243" customWidth="1"/>
  </cols>
  <sheetData>
    <row r="1" spans="1:13">
      <c r="A1" s="3" t="s">
        <v>6</v>
      </c>
      <c r="B1" s="3" t="s">
        <v>266</v>
      </c>
      <c r="C1" s="3" t="s">
        <v>267</v>
      </c>
      <c r="D1" s="3" t="s">
        <v>268</v>
      </c>
      <c r="E1" s="3" t="s">
        <v>497</v>
      </c>
      <c r="F1" s="3" t="s">
        <v>269</v>
      </c>
      <c r="G1" s="3" t="s">
        <v>270</v>
      </c>
      <c r="H1" s="3" t="s">
        <v>271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</row>
    <row r="2" spans="1:13">
      <c r="A2" s="3" t="s">
        <v>272</v>
      </c>
      <c r="B2" s="3" t="s">
        <v>272</v>
      </c>
      <c r="C2" s="3" t="s">
        <v>272</v>
      </c>
      <c r="D2" s="3" t="s">
        <v>272</v>
      </c>
      <c r="E2" s="3"/>
      <c r="F2" s="3" t="str">
        <f t="shared" ref="F2:F64" si="0">IF(OR(D2="Doubao Seed 2.0 Pro",D2="DeepSeek Reasoner V3.2"),"China","US")</f>
        <v>US</v>
      </c>
      <c r="G2" s="3" t="s">
        <v>272</v>
      </c>
      <c r="H2" s="3" t="s">
        <v>272</v>
      </c>
      <c r="I2" s="3" t="s">
        <v>272</v>
      </c>
      <c r="J2" s="3">
        <f ca="1">RANDBETWEEN(10000,99999)</f>
        <v>65307</v>
      </c>
      <c r="K2" s="3" t="str">
        <f ca="1">IF(MOD(J2,2)=0,"China-backup","US-backup")</f>
        <v>US-backup</v>
      </c>
      <c r="L2" s="3" t="s">
        <v>272</v>
      </c>
      <c r="M2" s="3" t="s">
        <v>272</v>
      </c>
    </row>
    <row r="3" spans="1:13">
      <c r="A3" s="3" t="str">
        <f t="shared" ref="A3:A64" si="1">C3&amp;"-"&amp;B3</f>
        <v>European Union-gov</v>
      </c>
      <c r="B3" s="3" t="s">
        <v>21</v>
      </c>
      <c r="C3" s="3" t="s">
        <v>265</v>
      </c>
      <c r="D3" s="3" t="s">
        <v>273</v>
      </c>
      <c r="E3" s="3" cm="1">
        <f t="array" ref="E3">_xlfn.IFS(D3="Doubao Seed 2.0 Pro",1,D3="Deepseek Reasoner V3.2",2,D3="Google Gemini 3.1 Pro Preview",3,D3="OpenAI ChatGPT 5.4 Pro",4)</f>
        <v>1</v>
      </c>
      <c r="F3" s="3" t="str">
        <f t="shared" si="0"/>
        <v>China</v>
      </c>
      <c r="G3" s="3" t="s">
        <v>498</v>
      </c>
      <c r="H3" s="3" t="s">
        <v>100</v>
      </c>
      <c r="I3" s="4" t="s">
        <v>197</v>
      </c>
      <c r="J3" s="4"/>
      <c r="K3" s="4"/>
      <c r="L3" s="4"/>
      <c r="M3" s="4"/>
    </row>
    <row r="4" spans="1:13">
      <c r="A4" s="3" t="str">
        <f t="shared" si="1"/>
        <v>European Union-gov</v>
      </c>
      <c r="B4" s="3" t="s">
        <v>21</v>
      </c>
      <c r="C4" s="3" t="s">
        <v>265</v>
      </c>
      <c r="D4" s="3" t="s">
        <v>273</v>
      </c>
      <c r="E4" s="3" cm="1">
        <f t="array" ref="E4">_xlfn.IFS(D4="Doubao Seed 2.0 Pro",1,D4="Deepseek Reasoner V3.2",2,D4="Google Gemini 3.1 Pro Preview",3,D4="OpenAI ChatGPT 5.4 Pro",4)</f>
        <v>1</v>
      </c>
      <c r="F4" s="3" t="str">
        <f t="shared" si="0"/>
        <v>China</v>
      </c>
      <c r="G4" s="3" t="s">
        <v>499</v>
      </c>
      <c r="H4" s="3" t="s">
        <v>58</v>
      </c>
      <c r="I4" s="4"/>
      <c r="J4" s="4"/>
      <c r="K4" s="4"/>
      <c r="L4" s="4"/>
      <c r="M4" s="4"/>
    </row>
    <row r="5" spans="1:13">
      <c r="A5" s="3" t="str">
        <f t="shared" si="1"/>
        <v>European Union-gov</v>
      </c>
      <c r="B5" s="3" t="s">
        <v>21</v>
      </c>
      <c r="C5" s="3" t="s">
        <v>265</v>
      </c>
      <c r="D5" s="3" t="s">
        <v>273</v>
      </c>
      <c r="E5" s="3" cm="1">
        <f t="array" ref="E5">_xlfn.IFS(D5="Doubao Seed 2.0 Pro",1,D5="Deepseek Reasoner V3.2",2,D5="Google Gemini 3.1 Pro Preview",3,D5="OpenAI ChatGPT 5.4 Pro",4)</f>
        <v>1</v>
      </c>
      <c r="F5" s="3" t="str">
        <f t="shared" si="0"/>
        <v>China</v>
      </c>
      <c r="G5" s="3" t="s">
        <v>500</v>
      </c>
      <c r="H5" s="3" t="s">
        <v>125</v>
      </c>
      <c r="I5" s="4"/>
      <c r="J5" s="4"/>
      <c r="K5" s="4"/>
      <c r="L5" s="4"/>
      <c r="M5" s="4"/>
    </row>
    <row r="6" spans="1:13">
      <c r="A6" s="3" t="str">
        <f t="shared" si="1"/>
        <v>European Union-gov</v>
      </c>
      <c r="B6" s="3" t="s">
        <v>21</v>
      </c>
      <c r="C6" s="3" t="s">
        <v>265</v>
      </c>
      <c r="D6" s="3" t="s">
        <v>273</v>
      </c>
      <c r="E6" s="3" cm="1">
        <f t="array" ref="E6">_xlfn.IFS(D6="Doubao Seed 2.0 Pro",1,D6="Deepseek Reasoner V3.2",2,D6="Google Gemini 3.1 Pro Preview",3,D6="OpenAI ChatGPT 5.4 Pro",4)</f>
        <v>1</v>
      </c>
      <c r="F6" s="3" t="str">
        <f t="shared" si="0"/>
        <v>China</v>
      </c>
      <c r="G6" s="3" t="s">
        <v>325</v>
      </c>
      <c r="H6" s="3" t="s">
        <v>122</v>
      </c>
      <c r="I6" s="4"/>
      <c r="J6" s="4"/>
      <c r="K6" s="4"/>
      <c r="L6" s="4"/>
      <c r="M6" s="4"/>
    </row>
    <row r="7" spans="1:13">
      <c r="A7" s="3" t="str">
        <f t="shared" si="1"/>
        <v>European Union-gov</v>
      </c>
      <c r="B7" s="3" t="s">
        <v>21</v>
      </c>
      <c r="C7" s="3" t="s">
        <v>265</v>
      </c>
      <c r="D7" s="3" t="s">
        <v>273</v>
      </c>
      <c r="E7" s="3" cm="1">
        <f t="array" ref="E7">_xlfn.IFS(D7="Doubao Seed 2.0 Pro",1,D7="Deepseek Reasoner V3.2",2,D7="Google Gemini 3.1 Pro Preview",3,D7="OpenAI ChatGPT 5.4 Pro",4)</f>
        <v>1</v>
      </c>
      <c r="F7" s="3" t="str">
        <f t="shared" si="0"/>
        <v>China</v>
      </c>
      <c r="G7" s="3" t="s">
        <v>418</v>
      </c>
      <c r="H7" s="3" t="s">
        <v>123</v>
      </c>
      <c r="I7" s="4"/>
      <c r="J7" s="4"/>
      <c r="K7" s="4"/>
      <c r="L7" s="4"/>
      <c r="M7" s="4"/>
    </row>
    <row r="8" spans="1:13">
      <c r="A8" s="3" t="str">
        <f t="shared" si="1"/>
        <v>European Union-gov</v>
      </c>
      <c r="B8" s="3" t="s">
        <v>21</v>
      </c>
      <c r="C8" s="3" t="s">
        <v>265</v>
      </c>
      <c r="D8" s="3" t="s">
        <v>273</v>
      </c>
      <c r="E8" s="3" cm="1">
        <f t="array" ref="E8">_xlfn.IFS(D8="Doubao Seed 2.0 Pro",1,D8="Deepseek Reasoner V3.2",2,D8="Google Gemini 3.1 Pro Preview",3,D8="OpenAI ChatGPT 5.4 Pro",4)</f>
        <v>1</v>
      </c>
      <c r="F8" s="3" t="str">
        <f t="shared" si="0"/>
        <v>China</v>
      </c>
      <c r="G8" s="3" t="s">
        <v>129</v>
      </c>
      <c r="H8" s="3" t="s">
        <v>129</v>
      </c>
      <c r="I8" s="4"/>
      <c r="J8" s="4"/>
      <c r="K8" s="4"/>
      <c r="L8" s="4"/>
      <c r="M8" s="4"/>
    </row>
    <row r="9" spans="1:13">
      <c r="A9" s="3" t="str">
        <f t="shared" si="1"/>
        <v>European Union-gov</v>
      </c>
      <c r="B9" s="3" t="s">
        <v>21</v>
      </c>
      <c r="C9" s="3" t="s">
        <v>265</v>
      </c>
      <c r="D9" s="3" t="s">
        <v>273</v>
      </c>
      <c r="E9" s="3" cm="1">
        <f t="array" ref="E9">_xlfn.IFS(D9="Doubao Seed 2.0 Pro",1,D9="Deepseek Reasoner V3.2",2,D9="Google Gemini 3.1 Pro Preview",3,D9="OpenAI ChatGPT 5.4 Pro",4)</f>
        <v>1</v>
      </c>
      <c r="F9" s="3" t="str">
        <f t="shared" si="0"/>
        <v>China</v>
      </c>
      <c r="G9" s="3" t="s">
        <v>304</v>
      </c>
      <c r="H9" s="3" t="s">
        <v>93</v>
      </c>
      <c r="I9" s="4"/>
      <c r="J9" s="4"/>
      <c r="K9" s="4"/>
      <c r="L9" s="4"/>
      <c r="M9" s="4"/>
    </row>
    <row r="10" spans="1:13">
      <c r="A10" s="3" t="str">
        <f t="shared" si="1"/>
        <v>European Union-gov</v>
      </c>
      <c r="B10" s="3" t="s">
        <v>21</v>
      </c>
      <c r="C10" s="3" t="s">
        <v>265</v>
      </c>
      <c r="D10" s="3" t="s">
        <v>273</v>
      </c>
      <c r="E10" s="3" cm="1">
        <f t="array" ref="E10">_xlfn.IFS(D10="Doubao Seed 2.0 Pro",1,D10="Deepseek Reasoner V3.2",2,D10="Google Gemini 3.1 Pro Preview",3,D10="OpenAI ChatGPT 5.4 Pro",4)</f>
        <v>1</v>
      </c>
      <c r="F10" s="3" t="str">
        <f t="shared" si="0"/>
        <v>China</v>
      </c>
      <c r="G10" s="3" t="s">
        <v>394</v>
      </c>
      <c r="H10" s="3" t="s">
        <v>85</v>
      </c>
      <c r="I10" s="4"/>
      <c r="J10" s="4"/>
      <c r="K10" s="4"/>
      <c r="L10" s="4"/>
      <c r="M10" s="4"/>
    </row>
    <row r="11" spans="1:13">
      <c r="A11" s="3" t="str">
        <f t="shared" si="1"/>
        <v>European Union-gov</v>
      </c>
      <c r="B11" s="3" t="s">
        <v>21</v>
      </c>
      <c r="C11" s="3" t="s">
        <v>265</v>
      </c>
      <c r="D11" s="3" t="s">
        <v>273</v>
      </c>
      <c r="E11" s="3" cm="1">
        <f t="array" ref="E11">_xlfn.IFS(D11="Doubao Seed 2.0 Pro",1,D11="Deepseek Reasoner V3.2",2,D11="Google Gemini 3.1 Pro Preview",3,D11="OpenAI ChatGPT 5.4 Pro",4)</f>
        <v>1</v>
      </c>
      <c r="F11" s="3" t="str">
        <f t="shared" si="0"/>
        <v>China</v>
      </c>
      <c r="G11" s="3" t="s">
        <v>463</v>
      </c>
      <c r="H11" s="3" t="s">
        <v>130</v>
      </c>
      <c r="I11" s="4"/>
      <c r="J11" s="4"/>
      <c r="K11" s="4"/>
      <c r="L11" s="4"/>
      <c r="M11" s="4"/>
    </row>
    <row r="12" spans="1:13">
      <c r="A12" s="3" t="str">
        <f t="shared" si="1"/>
        <v>European Union-gov</v>
      </c>
      <c r="B12" s="3" t="s">
        <v>21</v>
      </c>
      <c r="C12" s="3" t="s">
        <v>265</v>
      </c>
      <c r="D12" s="3" t="s">
        <v>273</v>
      </c>
      <c r="E12" s="3" cm="1">
        <f t="array" ref="E12">_xlfn.IFS(D12="Doubao Seed 2.0 Pro",1,D12="Deepseek Reasoner V3.2",2,D12="Google Gemini 3.1 Pro Preview",3,D12="OpenAI ChatGPT 5.4 Pro",4)</f>
        <v>1</v>
      </c>
      <c r="F12" s="3" t="str">
        <f t="shared" si="0"/>
        <v>China</v>
      </c>
      <c r="G12" s="3" t="s">
        <v>121</v>
      </c>
      <c r="H12" s="3" t="s">
        <v>121</v>
      </c>
      <c r="I12" s="4"/>
      <c r="J12" s="4"/>
      <c r="K12" s="4"/>
      <c r="L12" s="4"/>
      <c r="M12" s="4"/>
    </row>
    <row r="13" spans="1:13">
      <c r="A13" s="3" t="str">
        <f t="shared" si="1"/>
        <v>European Union-gov</v>
      </c>
      <c r="B13" s="3" t="s">
        <v>21</v>
      </c>
      <c r="C13" s="3" t="s">
        <v>265</v>
      </c>
      <c r="D13" s="3" t="s">
        <v>273</v>
      </c>
      <c r="E13" s="3" cm="1">
        <f t="array" ref="E13">_xlfn.IFS(D13="Doubao Seed 2.0 Pro",1,D13="Deepseek Reasoner V3.2",2,D13="Google Gemini 3.1 Pro Preview",3,D13="OpenAI ChatGPT 5.4 Pro",4)</f>
        <v>1</v>
      </c>
      <c r="F13" s="3" t="str">
        <f t="shared" si="0"/>
        <v>China</v>
      </c>
      <c r="G13" s="3" t="s">
        <v>400</v>
      </c>
      <c r="H13" s="3" t="s">
        <v>95</v>
      </c>
      <c r="I13" s="4"/>
      <c r="J13" s="4"/>
      <c r="K13" s="4"/>
      <c r="L13" s="4"/>
      <c r="M13" s="4"/>
    </row>
    <row r="14" spans="1:13">
      <c r="A14" s="3" t="str">
        <f t="shared" si="1"/>
        <v>European Union-gov</v>
      </c>
      <c r="B14" s="3" t="s">
        <v>21</v>
      </c>
      <c r="C14" s="3" t="s">
        <v>265</v>
      </c>
      <c r="D14" s="3" t="s">
        <v>273</v>
      </c>
      <c r="E14" s="3" cm="1">
        <f t="array" ref="E14">_xlfn.IFS(D14="Doubao Seed 2.0 Pro",1,D14="Deepseek Reasoner V3.2",2,D14="Google Gemini 3.1 Pro Preview",3,D14="OpenAI ChatGPT 5.4 Pro",4)</f>
        <v>1</v>
      </c>
      <c r="F14" s="3" t="str">
        <f t="shared" si="0"/>
        <v>China</v>
      </c>
      <c r="G14" s="3" t="s">
        <v>331</v>
      </c>
      <c r="H14" s="3" t="s">
        <v>216</v>
      </c>
      <c r="I14" s="4"/>
      <c r="J14" s="4"/>
      <c r="K14" s="4"/>
      <c r="L14" s="4"/>
      <c r="M14" s="4"/>
    </row>
    <row r="15" spans="1:13">
      <c r="A15" s="3" t="str">
        <f t="shared" si="1"/>
        <v>European Union-gov</v>
      </c>
      <c r="B15" s="3" t="s">
        <v>21</v>
      </c>
      <c r="C15" s="3" t="s">
        <v>265</v>
      </c>
      <c r="D15" s="3" t="s">
        <v>297</v>
      </c>
      <c r="E15" s="3" cm="1">
        <f t="array" ref="E15">_xlfn.IFS(D15="Doubao Seed 2.0 Pro",1,D15="Deepseek Reasoner V3.2",2,D15="Google Gemini 3.1 Pro Preview",3,D15="OpenAI ChatGPT 5.4 Pro",4)</f>
        <v>2</v>
      </c>
      <c r="F15" s="3" t="str">
        <f t="shared" si="0"/>
        <v>China</v>
      </c>
      <c r="G15" s="3" t="s">
        <v>498</v>
      </c>
      <c r="H15" s="3" t="s">
        <v>100</v>
      </c>
      <c r="I15" s="4"/>
      <c r="J15" s="4"/>
      <c r="K15" s="4"/>
      <c r="L15" s="4"/>
      <c r="M15" s="4"/>
    </row>
    <row r="16" spans="1:13">
      <c r="A16" s="3" t="str">
        <f t="shared" si="1"/>
        <v>European Union-gov</v>
      </c>
      <c r="B16" s="3" t="s">
        <v>21</v>
      </c>
      <c r="C16" s="3" t="s">
        <v>265</v>
      </c>
      <c r="D16" s="3" t="s">
        <v>297</v>
      </c>
      <c r="E16" s="3" cm="1">
        <f t="array" ref="E16">_xlfn.IFS(D16="Doubao Seed 2.0 Pro",1,D16="Deepseek Reasoner V3.2",2,D16="Google Gemini 3.1 Pro Preview",3,D16="OpenAI ChatGPT 5.4 Pro",4)</f>
        <v>2</v>
      </c>
      <c r="F16" s="3" t="str">
        <f t="shared" si="0"/>
        <v>China</v>
      </c>
      <c r="G16" s="3" t="s">
        <v>392</v>
      </c>
      <c r="H16" s="3" t="s">
        <v>113</v>
      </c>
      <c r="I16" s="4"/>
      <c r="J16" s="4"/>
      <c r="K16" s="4"/>
      <c r="L16" s="4"/>
      <c r="M16" s="4"/>
    </row>
    <row r="17" spans="1:13">
      <c r="A17" s="3" t="str">
        <f t="shared" si="1"/>
        <v>European Union-gov</v>
      </c>
      <c r="B17" s="3" t="s">
        <v>21</v>
      </c>
      <c r="C17" s="3" t="s">
        <v>265</v>
      </c>
      <c r="D17" s="3" t="s">
        <v>297</v>
      </c>
      <c r="E17" s="3" cm="1">
        <f t="array" ref="E17">_xlfn.IFS(D17="Doubao Seed 2.0 Pro",1,D17="Deepseek Reasoner V3.2",2,D17="Google Gemini 3.1 Pro Preview",3,D17="OpenAI ChatGPT 5.4 Pro",4)</f>
        <v>2</v>
      </c>
      <c r="F17" s="3" t="str">
        <f t="shared" si="0"/>
        <v>China</v>
      </c>
      <c r="G17" s="3" t="s">
        <v>316</v>
      </c>
      <c r="H17" s="3" t="s">
        <v>100</v>
      </c>
      <c r="I17" s="4"/>
      <c r="J17" s="4"/>
      <c r="K17" s="4"/>
      <c r="L17" s="4"/>
      <c r="M17" s="4"/>
    </row>
    <row r="18" spans="1:13">
      <c r="A18" s="3" t="str">
        <f t="shared" si="1"/>
        <v>European Union-gov</v>
      </c>
      <c r="B18" s="3" t="s">
        <v>21</v>
      </c>
      <c r="C18" s="3" t="s">
        <v>265</v>
      </c>
      <c r="D18" s="3" t="s">
        <v>297</v>
      </c>
      <c r="E18" s="3" cm="1">
        <f t="array" ref="E18">_xlfn.IFS(D18="Doubao Seed 2.0 Pro",1,D18="Deepseek Reasoner V3.2",2,D18="Google Gemini 3.1 Pro Preview",3,D18="OpenAI ChatGPT 5.4 Pro",4)</f>
        <v>2</v>
      </c>
      <c r="F18" s="3" t="str">
        <f t="shared" si="0"/>
        <v>China</v>
      </c>
      <c r="G18" s="3" t="s">
        <v>394</v>
      </c>
      <c r="H18" s="3" t="s">
        <v>85</v>
      </c>
      <c r="I18" s="4"/>
      <c r="J18" s="4"/>
      <c r="K18" s="4"/>
      <c r="L18" s="4"/>
      <c r="M18" s="4"/>
    </row>
    <row r="19" spans="1:13">
      <c r="A19" s="3" t="str">
        <f t="shared" si="1"/>
        <v>European Union-gov</v>
      </c>
      <c r="B19" s="3" t="s">
        <v>21</v>
      </c>
      <c r="C19" s="3" t="s">
        <v>265</v>
      </c>
      <c r="D19" s="3" t="s">
        <v>297</v>
      </c>
      <c r="E19" s="3" cm="1">
        <f t="array" ref="E19">_xlfn.IFS(D19="Doubao Seed 2.0 Pro",1,D19="Deepseek Reasoner V3.2",2,D19="Google Gemini 3.1 Pro Preview",3,D19="OpenAI ChatGPT 5.4 Pro",4)</f>
        <v>2</v>
      </c>
      <c r="F19" s="3" t="str">
        <f t="shared" si="0"/>
        <v>China</v>
      </c>
      <c r="G19" s="3" t="s">
        <v>321</v>
      </c>
      <c r="H19" s="3" t="s">
        <v>93</v>
      </c>
      <c r="I19" s="4"/>
      <c r="J19" s="4"/>
      <c r="K19" s="4"/>
      <c r="L19" s="4"/>
      <c r="M19" s="4"/>
    </row>
    <row r="20" spans="1:13">
      <c r="A20" s="3" t="str">
        <f t="shared" si="1"/>
        <v>European Union-gov</v>
      </c>
      <c r="B20" s="3" t="s">
        <v>21</v>
      </c>
      <c r="C20" s="3" t="s">
        <v>265</v>
      </c>
      <c r="D20" s="3" t="s">
        <v>297</v>
      </c>
      <c r="E20" s="3" cm="1">
        <f t="array" ref="E20">_xlfn.IFS(D20="Doubao Seed 2.0 Pro",1,D20="Deepseek Reasoner V3.2",2,D20="Google Gemini 3.1 Pro Preview",3,D20="OpenAI ChatGPT 5.4 Pro",4)</f>
        <v>2</v>
      </c>
      <c r="F20" s="3" t="str">
        <f t="shared" si="0"/>
        <v>China</v>
      </c>
      <c r="G20" s="3" t="s">
        <v>351</v>
      </c>
      <c r="H20" s="3" t="s">
        <v>108</v>
      </c>
      <c r="I20" s="4"/>
      <c r="J20" s="4"/>
      <c r="K20" s="4"/>
      <c r="L20" s="4"/>
      <c r="M20" s="4"/>
    </row>
    <row r="21" spans="1:13">
      <c r="A21" s="3" t="str">
        <f t="shared" si="1"/>
        <v>European Union-gov</v>
      </c>
      <c r="B21" s="3" t="s">
        <v>21</v>
      </c>
      <c r="C21" s="3" t="s">
        <v>265</v>
      </c>
      <c r="D21" s="3" t="s">
        <v>297</v>
      </c>
      <c r="E21" s="3" cm="1">
        <f t="array" ref="E21">_xlfn.IFS(D21="Doubao Seed 2.0 Pro",1,D21="Deepseek Reasoner V3.2",2,D21="Google Gemini 3.1 Pro Preview",3,D21="OpenAI ChatGPT 5.4 Pro",4)</f>
        <v>2</v>
      </c>
      <c r="F21" s="3" t="str">
        <f t="shared" si="0"/>
        <v>China</v>
      </c>
      <c r="G21" s="3" t="s">
        <v>248</v>
      </c>
      <c r="H21" s="3" t="s">
        <v>248</v>
      </c>
      <c r="I21" s="4"/>
      <c r="J21" s="4"/>
      <c r="K21" s="4"/>
      <c r="L21" s="4"/>
      <c r="M21" s="4"/>
    </row>
    <row r="22" spans="1:13">
      <c r="A22" s="3" t="str">
        <f t="shared" si="1"/>
        <v>European Union-gov</v>
      </c>
      <c r="B22" s="3" t="s">
        <v>21</v>
      </c>
      <c r="C22" s="3" t="s">
        <v>265</v>
      </c>
      <c r="D22" s="3" t="s">
        <v>297</v>
      </c>
      <c r="E22" s="3" cm="1">
        <f t="array" ref="E22">_xlfn.IFS(D22="Doubao Seed 2.0 Pro",1,D22="Deepseek Reasoner V3.2",2,D22="Google Gemini 3.1 Pro Preview",3,D22="OpenAI ChatGPT 5.4 Pro",4)</f>
        <v>2</v>
      </c>
      <c r="F22" s="3" t="str">
        <f t="shared" si="0"/>
        <v>China</v>
      </c>
      <c r="G22" s="3" t="s">
        <v>290</v>
      </c>
      <c r="H22" s="3" t="s">
        <v>85</v>
      </c>
      <c r="I22" s="4"/>
      <c r="J22" s="4"/>
      <c r="K22" s="4"/>
      <c r="L22" s="4"/>
      <c r="M22" s="4"/>
    </row>
    <row r="23" spans="1:13">
      <c r="A23" s="3" t="str">
        <f t="shared" si="1"/>
        <v>European Union-gov</v>
      </c>
      <c r="B23" s="3" t="s">
        <v>21</v>
      </c>
      <c r="C23" s="3" t="s">
        <v>265</v>
      </c>
      <c r="D23" s="3" t="s">
        <v>297</v>
      </c>
      <c r="E23" s="3" cm="1">
        <f t="array" ref="E23">_xlfn.IFS(D23="Doubao Seed 2.0 Pro",1,D23="Deepseek Reasoner V3.2",2,D23="Google Gemini 3.1 Pro Preview",3,D23="OpenAI ChatGPT 5.4 Pro",4)</f>
        <v>2</v>
      </c>
      <c r="F23" s="3" t="str">
        <f t="shared" si="0"/>
        <v>China</v>
      </c>
      <c r="G23" s="3" t="s">
        <v>328</v>
      </c>
      <c r="H23" s="3" t="s">
        <v>100</v>
      </c>
      <c r="I23" s="4"/>
      <c r="J23" s="4"/>
      <c r="K23" s="4"/>
      <c r="L23" s="4"/>
      <c r="M23" s="4"/>
    </row>
    <row r="24" spans="1:13">
      <c r="A24" s="3" t="str">
        <f t="shared" si="1"/>
        <v>European Union-gov</v>
      </c>
      <c r="B24" s="3" t="s">
        <v>21</v>
      </c>
      <c r="C24" s="3" t="s">
        <v>265</v>
      </c>
      <c r="D24" s="3" t="s">
        <v>314</v>
      </c>
      <c r="E24" s="3" cm="1">
        <f t="array" ref="E24">_xlfn.IFS(D24="Doubao Seed 2.0 Pro",1,D24="Deepseek Reasoner V3.2",2,D24="Google Gemini 3.1 Pro Preview",3,D24="OpenAI ChatGPT 5.4 Pro",4)</f>
        <v>3</v>
      </c>
      <c r="F24" s="3" t="str">
        <f t="shared" si="0"/>
        <v>US</v>
      </c>
      <c r="G24" s="3" t="s">
        <v>500</v>
      </c>
      <c r="H24" s="3" t="s">
        <v>125</v>
      </c>
      <c r="I24" s="4"/>
      <c r="J24" s="4"/>
      <c r="K24" s="4"/>
      <c r="L24" s="4"/>
      <c r="M24" s="4"/>
    </row>
    <row r="25" spans="1:13">
      <c r="A25" s="3" t="str">
        <f t="shared" si="1"/>
        <v>European Union-gov</v>
      </c>
      <c r="B25" s="3" t="s">
        <v>21</v>
      </c>
      <c r="C25" s="3" t="s">
        <v>265</v>
      </c>
      <c r="D25" s="3" t="s">
        <v>314</v>
      </c>
      <c r="E25" s="3" cm="1">
        <f t="array" ref="E25">_xlfn.IFS(D25="Doubao Seed 2.0 Pro",1,D25="Deepseek Reasoner V3.2",2,D25="Google Gemini 3.1 Pro Preview",3,D25="OpenAI ChatGPT 5.4 Pro",4)</f>
        <v>3</v>
      </c>
      <c r="F25" s="3" t="str">
        <f t="shared" si="0"/>
        <v>US</v>
      </c>
      <c r="G25" s="3" t="s">
        <v>280</v>
      </c>
      <c r="H25" s="3" t="s">
        <v>100</v>
      </c>
      <c r="I25" s="4"/>
      <c r="J25" s="4"/>
      <c r="K25" s="4"/>
      <c r="L25" s="4"/>
      <c r="M25" s="4"/>
    </row>
    <row r="26" spans="1:13">
      <c r="A26" s="3" t="str">
        <f t="shared" si="1"/>
        <v>European Union-gov</v>
      </c>
      <c r="B26" s="3" t="s">
        <v>21</v>
      </c>
      <c r="C26" s="3" t="s">
        <v>265</v>
      </c>
      <c r="D26" s="3" t="s">
        <v>314</v>
      </c>
      <c r="E26" s="3" cm="1">
        <f t="array" ref="E26">_xlfn.IFS(D26="Doubao Seed 2.0 Pro",1,D26="Deepseek Reasoner V3.2",2,D26="Google Gemini 3.1 Pro Preview",3,D26="OpenAI ChatGPT 5.4 Pro",4)</f>
        <v>3</v>
      </c>
      <c r="F26" s="3" t="str">
        <f t="shared" si="0"/>
        <v>US</v>
      </c>
      <c r="G26" s="3" t="s">
        <v>130</v>
      </c>
      <c r="H26" s="3" t="s">
        <v>130</v>
      </c>
      <c r="I26" s="4"/>
      <c r="J26" s="4"/>
      <c r="K26" s="4"/>
      <c r="L26" s="4"/>
      <c r="M26" s="4"/>
    </row>
    <row r="27" spans="1:13">
      <c r="A27" s="3" t="str">
        <f t="shared" si="1"/>
        <v>European Union-gov</v>
      </c>
      <c r="B27" s="3" t="s">
        <v>21</v>
      </c>
      <c r="C27" s="3" t="s">
        <v>265</v>
      </c>
      <c r="D27" s="3" t="s">
        <v>314</v>
      </c>
      <c r="E27" s="3" cm="1">
        <f t="array" ref="E27">_xlfn.IFS(D27="Doubao Seed 2.0 Pro",1,D27="Deepseek Reasoner V3.2",2,D27="Google Gemini 3.1 Pro Preview",3,D27="OpenAI ChatGPT 5.4 Pro",4)</f>
        <v>3</v>
      </c>
      <c r="F27" s="3" t="str">
        <f t="shared" si="0"/>
        <v>US</v>
      </c>
      <c r="G27" s="3" t="s">
        <v>290</v>
      </c>
      <c r="H27" s="3" t="s">
        <v>85</v>
      </c>
      <c r="I27" s="4"/>
      <c r="J27" s="4"/>
      <c r="K27" s="4"/>
      <c r="L27" s="4"/>
      <c r="M27" s="4"/>
    </row>
    <row r="28" spans="1:13">
      <c r="A28" s="3" t="str">
        <f t="shared" si="1"/>
        <v>European Union-gov</v>
      </c>
      <c r="B28" s="3" t="s">
        <v>21</v>
      </c>
      <c r="C28" s="3" t="s">
        <v>265</v>
      </c>
      <c r="D28" s="3" t="s">
        <v>314</v>
      </c>
      <c r="E28" s="3" cm="1">
        <f t="array" ref="E28">_xlfn.IFS(D28="Doubao Seed 2.0 Pro",1,D28="Deepseek Reasoner V3.2",2,D28="Google Gemini 3.1 Pro Preview",3,D28="OpenAI ChatGPT 5.4 Pro",4)</f>
        <v>3</v>
      </c>
      <c r="F28" s="3" t="str">
        <f t="shared" si="0"/>
        <v>US</v>
      </c>
      <c r="G28" s="3" t="s">
        <v>278</v>
      </c>
      <c r="H28" s="3" t="s">
        <v>80</v>
      </c>
      <c r="I28" s="4"/>
      <c r="J28" s="4"/>
      <c r="K28" s="4"/>
      <c r="L28" s="4"/>
      <c r="M28" s="4"/>
    </row>
    <row r="29" spans="1:13">
      <c r="A29" s="3" t="str">
        <f t="shared" si="1"/>
        <v>European Union-gov</v>
      </c>
      <c r="B29" s="3" t="s">
        <v>21</v>
      </c>
      <c r="C29" s="3" t="s">
        <v>265</v>
      </c>
      <c r="D29" s="3" t="s">
        <v>314</v>
      </c>
      <c r="E29" s="3" cm="1">
        <f t="array" ref="E29">_xlfn.IFS(D29="Doubao Seed 2.0 Pro",1,D29="Deepseek Reasoner V3.2",2,D29="Google Gemini 3.1 Pro Preview",3,D29="OpenAI ChatGPT 5.4 Pro",4)</f>
        <v>3</v>
      </c>
      <c r="F29" s="3" t="str">
        <f t="shared" si="0"/>
        <v>US</v>
      </c>
      <c r="G29" s="3" t="s">
        <v>321</v>
      </c>
      <c r="H29" s="3" t="s">
        <v>93</v>
      </c>
      <c r="I29" s="4"/>
      <c r="J29" s="4"/>
      <c r="K29" s="4"/>
      <c r="L29" s="4"/>
      <c r="M29" s="4"/>
    </row>
    <row r="30" spans="1:13">
      <c r="A30" s="3" t="str">
        <f t="shared" si="1"/>
        <v>European Union-gov</v>
      </c>
      <c r="B30" s="3" t="s">
        <v>21</v>
      </c>
      <c r="C30" s="3" t="s">
        <v>265</v>
      </c>
      <c r="D30" s="3" t="s">
        <v>314</v>
      </c>
      <c r="E30" s="3" cm="1">
        <f t="array" ref="E30">_xlfn.IFS(D30="Doubao Seed 2.0 Pro",1,D30="Deepseek Reasoner V3.2",2,D30="Google Gemini 3.1 Pro Preview",3,D30="OpenAI ChatGPT 5.4 Pro",4)</f>
        <v>3</v>
      </c>
      <c r="F30" s="3" t="str">
        <f t="shared" si="0"/>
        <v>US</v>
      </c>
      <c r="G30" s="3" t="s">
        <v>501</v>
      </c>
      <c r="H30" s="3" t="s">
        <v>23</v>
      </c>
      <c r="I30" s="4"/>
      <c r="J30" s="4"/>
      <c r="K30" s="4"/>
      <c r="L30" s="4"/>
      <c r="M30" s="4"/>
    </row>
    <row r="31" spans="1:13">
      <c r="A31" s="3" t="str">
        <f t="shared" si="1"/>
        <v>European Union-gov</v>
      </c>
      <c r="B31" s="3" t="s">
        <v>21</v>
      </c>
      <c r="C31" s="3" t="s">
        <v>265</v>
      </c>
      <c r="D31" s="3" t="s">
        <v>314</v>
      </c>
      <c r="E31" s="3" cm="1">
        <f t="array" ref="E31">_xlfn.IFS(D31="Doubao Seed 2.0 Pro",1,D31="Deepseek Reasoner V3.2",2,D31="Google Gemini 3.1 Pro Preview",3,D31="OpenAI ChatGPT 5.4 Pro",4)</f>
        <v>3</v>
      </c>
      <c r="F31" s="3" t="str">
        <f t="shared" si="0"/>
        <v>US</v>
      </c>
      <c r="G31" s="3" t="s">
        <v>325</v>
      </c>
      <c r="H31" s="3" t="s">
        <v>122</v>
      </c>
      <c r="I31" s="4"/>
      <c r="J31" s="4"/>
      <c r="K31" s="4"/>
      <c r="L31" s="4"/>
      <c r="M31" s="4"/>
    </row>
    <row r="32" spans="1:13">
      <c r="A32" s="3" t="str">
        <f t="shared" si="1"/>
        <v>European Union-gov</v>
      </c>
      <c r="B32" s="3" t="s">
        <v>21</v>
      </c>
      <c r="C32" s="3" t="s">
        <v>265</v>
      </c>
      <c r="D32" s="3" t="s">
        <v>314</v>
      </c>
      <c r="E32" s="3" cm="1">
        <f t="array" ref="E32">_xlfn.IFS(D32="Doubao Seed 2.0 Pro",1,D32="Deepseek Reasoner V3.2",2,D32="Google Gemini 3.1 Pro Preview",3,D32="OpenAI ChatGPT 5.4 Pro",4)</f>
        <v>3</v>
      </c>
      <c r="F32" s="3" t="str">
        <f t="shared" si="0"/>
        <v>US</v>
      </c>
      <c r="G32" s="3" t="s">
        <v>352</v>
      </c>
      <c r="H32" s="3" t="s">
        <v>100</v>
      </c>
      <c r="I32" s="4"/>
      <c r="J32" s="4"/>
      <c r="K32" s="4"/>
      <c r="L32" s="4"/>
      <c r="M32" s="4"/>
    </row>
    <row r="33" spans="1:13">
      <c r="A33" s="3" t="str">
        <f t="shared" si="1"/>
        <v>European Union-gov</v>
      </c>
      <c r="B33" s="3" t="s">
        <v>21</v>
      </c>
      <c r="C33" s="3" t="s">
        <v>265</v>
      </c>
      <c r="D33" s="3" t="s">
        <v>314</v>
      </c>
      <c r="E33" s="3" cm="1">
        <f t="array" ref="E33">_xlfn.IFS(D33="Doubao Seed 2.0 Pro",1,D33="Deepseek Reasoner V3.2",2,D33="Google Gemini 3.1 Pro Preview",3,D33="OpenAI ChatGPT 5.4 Pro",4)</f>
        <v>3</v>
      </c>
      <c r="F33" s="3" t="str">
        <f t="shared" si="0"/>
        <v>US</v>
      </c>
      <c r="G33" s="3" t="s">
        <v>307</v>
      </c>
      <c r="H33" s="3" t="s">
        <v>126</v>
      </c>
      <c r="I33" s="4"/>
      <c r="J33" s="4"/>
      <c r="K33" s="4"/>
      <c r="L33" s="4"/>
      <c r="M33" s="4"/>
    </row>
    <row r="34" spans="1:13">
      <c r="A34" s="3" t="str">
        <f t="shared" si="1"/>
        <v>European Union-gov</v>
      </c>
      <c r="B34" s="3" t="s">
        <v>21</v>
      </c>
      <c r="C34" s="3" t="s">
        <v>265</v>
      </c>
      <c r="D34" s="3" t="s">
        <v>314</v>
      </c>
      <c r="E34" s="3" cm="1">
        <f t="array" ref="E34">_xlfn.IFS(D34="Doubao Seed 2.0 Pro",1,D34="Deepseek Reasoner V3.2",2,D34="Google Gemini 3.1 Pro Preview",3,D34="OpenAI ChatGPT 5.4 Pro",4)</f>
        <v>3</v>
      </c>
      <c r="F34" s="3" t="str">
        <f t="shared" si="0"/>
        <v>US</v>
      </c>
      <c r="G34" s="3" t="s">
        <v>400</v>
      </c>
      <c r="H34" s="3" t="s">
        <v>95</v>
      </c>
      <c r="I34" s="4"/>
      <c r="J34" s="4"/>
      <c r="K34" s="4"/>
      <c r="L34" s="4"/>
      <c r="M34" s="4"/>
    </row>
    <row r="35" spans="1:13">
      <c r="A35" s="3" t="str">
        <f t="shared" si="1"/>
        <v>European Union-gov</v>
      </c>
      <c r="B35" s="3" t="s">
        <v>21</v>
      </c>
      <c r="C35" s="3" t="s">
        <v>265</v>
      </c>
      <c r="D35" s="3" t="s">
        <v>314</v>
      </c>
      <c r="E35" s="3" cm="1">
        <f t="array" ref="E35">_xlfn.IFS(D35="Doubao Seed 2.0 Pro",1,D35="Deepseek Reasoner V3.2",2,D35="Google Gemini 3.1 Pro Preview",3,D35="OpenAI ChatGPT 5.4 Pro",4)</f>
        <v>3</v>
      </c>
      <c r="F35" s="3" t="str">
        <f t="shared" si="0"/>
        <v>US</v>
      </c>
      <c r="G35" s="3" t="s">
        <v>486</v>
      </c>
      <c r="H35" s="3" t="s">
        <v>116</v>
      </c>
      <c r="I35" s="4"/>
      <c r="J35" s="4"/>
      <c r="K35" s="4"/>
      <c r="L35" s="4"/>
      <c r="M35" s="4"/>
    </row>
    <row r="36" spans="1:13">
      <c r="A36" s="3" t="str">
        <f t="shared" si="1"/>
        <v>European Union-gov</v>
      </c>
      <c r="B36" s="3" t="s">
        <v>21</v>
      </c>
      <c r="C36" s="3" t="s">
        <v>265</v>
      </c>
      <c r="D36" s="3" t="s">
        <v>314</v>
      </c>
      <c r="E36" s="3" cm="1">
        <f t="array" ref="E36">_xlfn.IFS(D36="Doubao Seed 2.0 Pro",1,D36="Deepseek Reasoner V3.2",2,D36="Google Gemini 3.1 Pro Preview",3,D36="OpenAI ChatGPT 5.4 Pro",4)</f>
        <v>3</v>
      </c>
      <c r="F36" s="3" t="str">
        <f t="shared" si="0"/>
        <v>US</v>
      </c>
      <c r="G36" s="3" t="s">
        <v>421</v>
      </c>
      <c r="H36" s="3" t="s">
        <v>232</v>
      </c>
      <c r="I36" s="4"/>
      <c r="J36" s="4"/>
      <c r="K36" s="4"/>
      <c r="L36" s="4"/>
      <c r="M36" s="4"/>
    </row>
    <row r="37" spans="1:13">
      <c r="A37" s="3" t="str">
        <f t="shared" si="1"/>
        <v>European Union-gov</v>
      </c>
      <c r="B37" s="3" t="s">
        <v>21</v>
      </c>
      <c r="C37" s="3" t="s">
        <v>265</v>
      </c>
      <c r="D37" s="3" t="s">
        <v>314</v>
      </c>
      <c r="E37" s="3" cm="1">
        <f t="array" ref="E37">_xlfn.IFS(D37="Doubao Seed 2.0 Pro",1,D37="Deepseek Reasoner V3.2",2,D37="Google Gemini 3.1 Pro Preview",3,D37="OpenAI ChatGPT 5.4 Pro",4)</f>
        <v>3</v>
      </c>
      <c r="F37" s="3" t="str">
        <f t="shared" si="0"/>
        <v>US</v>
      </c>
      <c r="G37" s="3" t="s">
        <v>318</v>
      </c>
      <c r="H37" s="3" t="s">
        <v>58</v>
      </c>
      <c r="I37" s="4"/>
      <c r="J37" s="4"/>
      <c r="K37" s="4"/>
      <c r="L37" s="4"/>
      <c r="M37" s="4"/>
    </row>
    <row r="38" spans="1:13">
      <c r="A38" s="3" t="str">
        <f t="shared" si="1"/>
        <v>European Union-gov</v>
      </c>
      <c r="B38" s="3" t="s">
        <v>21</v>
      </c>
      <c r="C38" s="3" t="s">
        <v>265</v>
      </c>
      <c r="D38" s="3" t="s">
        <v>314</v>
      </c>
      <c r="E38" s="3" cm="1">
        <f t="array" ref="E38">_xlfn.IFS(D38="Doubao Seed 2.0 Pro",1,D38="Deepseek Reasoner V3.2",2,D38="Google Gemini 3.1 Pro Preview",3,D38="OpenAI ChatGPT 5.4 Pro",4)</f>
        <v>3</v>
      </c>
      <c r="F38" s="3" t="str">
        <f t="shared" si="0"/>
        <v>US</v>
      </c>
      <c r="G38" s="3" t="s">
        <v>502</v>
      </c>
      <c r="H38" t="s">
        <v>47</v>
      </c>
      <c r="I38" s="4"/>
      <c r="J38" s="4"/>
      <c r="K38" s="4"/>
      <c r="L38" s="4"/>
      <c r="M38" s="4"/>
    </row>
    <row r="39" spans="1:13">
      <c r="A39" s="3" t="str">
        <f t="shared" si="1"/>
        <v>European Union-gov</v>
      </c>
      <c r="B39" s="3" t="s">
        <v>21</v>
      </c>
      <c r="C39" s="3" t="s">
        <v>265</v>
      </c>
      <c r="D39" s="3" t="s">
        <v>314</v>
      </c>
      <c r="E39" s="3" cm="1">
        <f t="array" ref="E39">_xlfn.IFS(D39="Doubao Seed 2.0 Pro",1,D39="Deepseek Reasoner V3.2",2,D39="Google Gemini 3.1 Pro Preview",3,D39="OpenAI ChatGPT 5.4 Pro",4)</f>
        <v>3</v>
      </c>
      <c r="F39" s="3" t="str">
        <f t="shared" si="0"/>
        <v>US</v>
      </c>
      <c r="G39" s="3" t="s">
        <v>418</v>
      </c>
      <c r="H39" s="3" t="s">
        <v>123</v>
      </c>
      <c r="I39" s="4"/>
      <c r="J39" s="4"/>
      <c r="K39" s="4"/>
      <c r="L39" s="4"/>
      <c r="M39" s="4"/>
    </row>
    <row r="40" spans="1:13">
      <c r="A40" s="3" t="str">
        <f t="shared" si="1"/>
        <v>European Union-gov</v>
      </c>
      <c r="B40" s="3" t="s">
        <v>21</v>
      </c>
      <c r="C40" s="3" t="s">
        <v>265</v>
      </c>
      <c r="D40" s="3" t="s">
        <v>329</v>
      </c>
      <c r="E40" s="3" cm="1">
        <f t="array" ref="E40">_xlfn.IFS(D40="Doubao Seed 2.0 Pro",1,D40="Deepseek Reasoner V3.2",2,D40="Google Gemini 3.1 Pro Preview",3,D40="OpenAI ChatGPT 5.4 Pro",4)</f>
        <v>4</v>
      </c>
      <c r="F40" s="3" t="str">
        <f t="shared" si="0"/>
        <v>US</v>
      </c>
      <c r="G40" s="3" t="s">
        <v>500</v>
      </c>
      <c r="H40" s="3" t="s">
        <v>125</v>
      </c>
      <c r="I40" s="4"/>
      <c r="J40" s="4"/>
      <c r="K40" s="4"/>
      <c r="L40" s="4"/>
      <c r="M40" s="4"/>
    </row>
    <row r="41" spans="1:13">
      <c r="A41" s="3" t="str">
        <f t="shared" si="1"/>
        <v>European Union-gov</v>
      </c>
      <c r="B41" s="3" t="s">
        <v>21</v>
      </c>
      <c r="C41" s="3" t="s">
        <v>265</v>
      </c>
      <c r="D41" s="3" t="s">
        <v>329</v>
      </c>
      <c r="E41" s="3" cm="1">
        <f t="array" ref="E41">_xlfn.IFS(D41="Doubao Seed 2.0 Pro",1,D41="Deepseek Reasoner V3.2",2,D41="Google Gemini 3.1 Pro Preview",3,D41="OpenAI ChatGPT 5.4 Pro",4)</f>
        <v>4</v>
      </c>
      <c r="F41" s="3" t="str">
        <f t="shared" si="0"/>
        <v>US</v>
      </c>
      <c r="G41" s="3" t="s">
        <v>286</v>
      </c>
      <c r="H41" s="3" t="s">
        <v>124</v>
      </c>
      <c r="I41" s="4"/>
      <c r="J41" s="4"/>
      <c r="K41" s="4"/>
      <c r="L41" s="4"/>
      <c r="M41" s="4"/>
    </row>
    <row r="42" spans="1:13">
      <c r="A42" s="3" t="str">
        <f t="shared" si="1"/>
        <v>European Union-gov</v>
      </c>
      <c r="B42" s="3" t="s">
        <v>21</v>
      </c>
      <c r="C42" s="3" t="s">
        <v>265</v>
      </c>
      <c r="D42" s="3" t="s">
        <v>329</v>
      </c>
      <c r="E42" s="3" cm="1">
        <f t="array" ref="E42">_xlfn.IFS(D42="Doubao Seed 2.0 Pro",1,D42="Deepseek Reasoner V3.2",2,D42="Google Gemini 3.1 Pro Preview",3,D42="OpenAI ChatGPT 5.4 Pro",4)</f>
        <v>4</v>
      </c>
      <c r="F42" s="3" t="str">
        <f t="shared" si="0"/>
        <v>US</v>
      </c>
      <c r="G42" s="1" t="s">
        <v>486</v>
      </c>
      <c r="H42" s="3" t="s">
        <v>116</v>
      </c>
      <c r="I42" s="4"/>
      <c r="J42" s="4"/>
      <c r="K42" s="4"/>
      <c r="L42" s="4"/>
      <c r="M42" s="4"/>
    </row>
    <row r="43" spans="1:13">
      <c r="A43" s="3" t="str">
        <f t="shared" si="1"/>
        <v>European Union-gov</v>
      </c>
      <c r="B43" s="3" t="s">
        <v>21</v>
      </c>
      <c r="C43" s="3" t="s">
        <v>265</v>
      </c>
      <c r="D43" s="3" t="s">
        <v>329</v>
      </c>
      <c r="E43" s="3" cm="1">
        <f t="array" ref="E43">_xlfn.IFS(D43="Doubao Seed 2.0 Pro",1,D43="Deepseek Reasoner V3.2",2,D43="Google Gemini 3.1 Pro Preview",3,D43="OpenAI ChatGPT 5.4 Pro",4)</f>
        <v>4</v>
      </c>
      <c r="F43" s="3" t="str">
        <f t="shared" si="0"/>
        <v>US</v>
      </c>
      <c r="G43" s="3" t="s">
        <v>502</v>
      </c>
      <c r="H43" s="3" t="s">
        <v>47</v>
      </c>
      <c r="I43" s="4"/>
      <c r="J43" s="4"/>
      <c r="K43" s="4"/>
      <c r="L43" s="4"/>
      <c r="M43" s="4"/>
    </row>
    <row r="44" spans="1:13">
      <c r="A44" s="3" t="str">
        <f t="shared" si="1"/>
        <v>European Union-gov</v>
      </c>
      <c r="B44" s="3" t="s">
        <v>21</v>
      </c>
      <c r="C44" s="3" t="s">
        <v>265</v>
      </c>
      <c r="D44" s="3" t="s">
        <v>329</v>
      </c>
      <c r="E44" s="3" cm="1">
        <f t="array" ref="E44">_xlfn.IFS(D44="Doubao Seed 2.0 Pro",1,D44="Deepseek Reasoner V3.2",2,D44="Google Gemini 3.1 Pro Preview",3,D44="OpenAI ChatGPT 5.4 Pro",4)</f>
        <v>4</v>
      </c>
      <c r="F44" s="3" t="str">
        <f t="shared" si="0"/>
        <v>US</v>
      </c>
      <c r="G44" s="3" t="s">
        <v>501</v>
      </c>
      <c r="H44" s="3" t="s">
        <v>23</v>
      </c>
      <c r="I44" s="4"/>
      <c r="J44" s="4"/>
      <c r="K44" s="4"/>
      <c r="L44" s="4"/>
      <c r="M44" s="4"/>
    </row>
    <row r="45" spans="1:13">
      <c r="A45" s="3" t="str">
        <f t="shared" si="1"/>
        <v>European Union-gov</v>
      </c>
      <c r="B45" s="3" t="s">
        <v>21</v>
      </c>
      <c r="C45" s="3" t="s">
        <v>265</v>
      </c>
      <c r="D45" s="3" t="s">
        <v>329</v>
      </c>
      <c r="E45" s="3" cm="1">
        <f t="array" ref="E45">_xlfn.IFS(D45="Doubao Seed 2.0 Pro",1,D45="Deepseek Reasoner V3.2",2,D45="Google Gemini 3.1 Pro Preview",3,D45="OpenAI ChatGPT 5.4 Pro",4)</f>
        <v>4</v>
      </c>
      <c r="F45" s="3" t="str">
        <f t="shared" si="0"/>
        <v>US</v>
      </c>
      <c r="G45" s="3" t="s">
        <v>337</v>
      </c>
      <c r="H45" s="3" t="s">
        <v>211</v>
      </c>
      <c r="I45" s="4"/>
      <c r="J45" s="4"/>
      <c r="K45" s="4"/>
      <c r="L45" s="4"/>
      <c r="M45" s="4"/>
    </row>
    <row r="46" spans="1:13">
      <c r="A46" s="3" t="str">
        <f t="shared" si="1"/>
        <v>European Union-gov</v>
      </c>
      <c r="B46" s="3" t="s">
        <v>21</v>
      </c>
      <c r="C46" s="3" t="s">
        <v>265</v>
      </c>
      <c r="D46" s="3" t="s">
        <v>329</v>
      </c>
      <c r="E46" s="3" cm="1">
        <f t="array" ref="E46">_xlfn.IFS(D46="Doubao Seed 2.0 Pro",1,D46="Deepseek Reasoner V3.2",2,D46="Google Gemini 3.1 Pro Preview",3,D46="OpenAI ChatGPT 5.4 Pro",4)</f>
        <v>4</v>
      </c>
      <c r="F46" s="3" t="str">
        <f t="shared" si="0"/>
        <v>US</v>
      </c>
      <c r="G46" s="3" t="s">
        <v>129</v>
      </c>
      <c r="H46" s="3" t="s">
        <v>129</v>
      </c>
      <c r="I46" s="4"/>
      <c r="J46" s="4"/>
      <c r="K46" s="4"/>
      <c r="L46" s="4"/>
      <c r="M46" s="4"/>
    </row>
    <row r="47" spans="1:13">
      <c r="A47" s="3" t="str">
        <f t="shared" si="1"/>
        <v>European Union-gov</v>
      </c>
      <c r="B47" s="3" t="s">
        <v>21</v>
      </c>
      <c r="C47" s="3" t="s">
        <v>265</v>
      </c>
      <c r="D47" s="3" t="s">
        <v>329</v>
      </c>
      <c r="E47" s="3" cm="1">
        <f t="array" ref="E47">_xlfn.IFS(D47="Doubao Seed 2.0 Pro",1,D47="Deepseek Reasoner V3.2",2,D47="Google Gemini 3.1 Pro Preview",3,D47="OpenAI ChatGPT 5.4 Pro",4)</f>
        <v>4</v>
      </c>
      <c r="F47" s="3" t="str">
        <f t="shared" si="0"/>
        <v>US</v>
      </c>
      <c r="G47" s="3" t="s">
        <v>498</v>
      </c>
      <c r="H47" s="3" t="s">
        <v>100</v>
      </c>
      <c r="I47" s="4"/>
      <c r="J47" s="4"/>
      <c r="K47" s="4"/>
      <c r="L47" s="4"/>
      <c r="M47" s="4"/>
    </row>
    <row r="48" spans="1:13">
      <c r="A48" s="3" t="str">
        <f t="shared" si="1"/>
        <v>European Union-gov</v>
      </c>
      <c r="B48" s="3" t="s">
        <v>21</v>
      </c>
      <c r="C48" s="3" t="s">
        <v>265</v>
      </c>
      <c r="D48" s="3" t="s">
        <v>329</v>
      </c>
      <c r="E48" s="3" cm="1">
        <f t="array" ref="E48">_xlfn.IFS(D48="Doubao Seed 2.0 Pro",1,D48="Deepseek Reasoner V3.2",2,D48="Google Gemini 3.1 Pro Preview",3,D48="OpenAI ChatGPT 5.4 Pro",4)</f>
        <v>4</v>
      </c>
      <c r="F48" s="3" t="str">
        <f t="shared" si="0"/>
        <v>US</v>
      </c>
      <c r="G48" s="3" t="s">
        <v>280</v>
      </c>
      <c r="H48" s="3" t="s">
        <v>100</v>
      </c>
      <c r="I48" s="4"/>
      <c r="J48" s="4"/>
      <c r="K48" s="4"/>
      <c r="L48" s="4"/>
      <c r="M48" s="4"/>
    </row>
    <row r="49" spans="1:13">
      <c r="A49" s="3" t="str">
        <f t="shared" si="1"/>
        <v>European Union-gov</v>
      </c>
      <c r="B49" s="3" t="s">
        <v>21</v>
      </c>
      <c r="C49" s="3" t="s">
        <v>265</v>
      </c>
      <c r="D49" s="3" t="s">
        <v>329</v>
      </c>
      <c r="E49" s="3" cm="1">
        <f t="array" ref="E49">_xlfn.IFS(D49="Doubao Seed 2.0 Pro",1,D49="Deepseek Reasoner V3.2",2,D49="Google Gemini 3.1 Pro Preview",3,D49="OpenAI ChatGPT 5.4 Pro",4)</f>
        <v>4</v>
      </c>
      <c r="F49" s="3" t="str">
        <f t="shared" si="0"/>
        <v>US</v>
      </c>
      <c r="G49" s="3" t="s">
        <v>351</v>
      </c>
      <c r="H49" s="3" t="s">
        <v>108</v>
      </c>
      <c r="I49" s="4"/>
      <c r="J49" s="4"/>
      <c r="K49" s="4"/>
      <c r="L49" s="4"/>
      <c r="M49" s="4"/>
    </row>
    <row r="50" spans="1:13">
      <c r="A50" s="3" t="str">
        <f t="shared" si="1"/>
        <v>European Union-gov</v>
      </c>
      <c r="B50" s="3" t="s">
        <v>21</v>
      </c>
      <c r="C50" s="3" t="s">
        <v>265</v>
      </c>
      <c r="D50" s="3" t="s">
        <v>329</v>
      </c>
      <c r="E50" s="3" cm="1">
        <f t="array" ref="E50">_xlfn.IFS(D50="Doubao Seed 2.0 Pro",1,D50="Deepseek Reasoner V3.2",2,D50="Google Gemini 3.1 Pro Preview",3,D50="OpenAI ChatGPT 5.4 Pro",4)</f>
        <v>4</v>
      </c>
      <c r="F50" s="3" t="str">
        <f t="shared" si="0"/>
        <v>US</v>
      </c>
      <c r="G50" s="3" t="s">
        <v>325</v>
      </c>
      <c r="H50" s="3" t="s">
        <v>122</v>
      </c>
      <c r="I50" s="4"/>
      <c r="J50" s="4"/>
      <c r="K50" s="4"/>
      <c r="L50" s="4"/>
      <c r="M50" s="4"/>
    </row>
    <row r="51" spans="1:13">
      <c r="A51" s="3" t="str">
        <f t="shared" si="1"/>
        <v>European Union-gov</v>
      </c>
      <c r="B51" s="3" t="s">
        <v>21</v>
      </c>
      <c r="C51" s="3" t="s">
        <v>265</v>
      </c>
      <c r="D51" s="3" t="s">
        <v>329</v>
      </c>
      <c r="E51" s="3" cm="1">
        <f t="array" ref="E51">_xlfn.IFS(D51="Doubao Seed 2.0 Pro",1,D51="Deepseek Reasoner V3.2",2,D51="Google Gemini 3.1 Pro Preview",3,D51="OpenAI ChatGPT 5.4 Pro",4)</f>
        <v>4</v>
      </c>
      <c r="F51" s="3" t="str">
        <f t="shared" si="0"/>
        <v>US</v>
      </c>
      <c r="G51" s="3" t="s">
        <v>278</v>
      </c>
      <c r="H51" s="3" t="s">
        <v>80</v>
      </c>
      <c r="I51" s="4"/>
      <c r="J51" s="4"/>
      <c r="K51" s="4"/>
      <c r="L51" s="4"/>
      <c r="M51" s="4"/>
    </row>
    <row r="52" spans="1:13">
      <c r="A52" s="3" t="str">
        <f t="shared" si="1"/>
        <v>European Union-gov</v>
      </c>
      <c r="B52" s="3" t="s">
        <v>21</v>
      </c>
      <c r="C52" s="3" t="s">
        <v>265</v>
      </c>
      <c r="D52" s="3" t="s">
        <v>329</v>
      </c>
      <c r="E52" s="3" cm="1">
        <f t="array" ref="E52">_xlfn.IFS(D52="Doubao Seed 2.0 Pro",1,D52="Deepseek Reasoner V3.2",2,D52="Google Gemini 3.1 Pro Preview",3,D52="OpenAI ChatGPT 5.4 Pro",4)</f>
        <v>4</v>
      </c>
      <c r="F52" s="3" t="str">
        <f t="shared" si="0"/>
        <v>US</v>
      </c>
      <c r="G52" s="3" t="s">
        <v>392</v>
      </c>
      <c r="H52" s="3" t="s">
        <v>113</v>
      </c>
      <c r="I52" s="4"/>
      <c r="J52" s="4"/>
      <c r="K52" s="4"/>
      <c r="L52" s="4"/>
      <c r="M52" s="4"/>
    </row>
    <row r="53" spans="1:13">
      <c r="A53" s="3" t="str">
        <f t="shared" si="1"/>
        <v>European Union-gov</v>
      </c>
      <c r="B53" s="3" t="s">
        <v>21</v>
      </c>
      <c r="C53" s="3" t="s">
        <v>265</v>
      </c>
      <c r="D53" s="3" t="s">
        <v>329</v>
      </c>
      <c r="E53" s="3" cm="1">
        <f t="array" ref="E53">_xlfn.IFS(D53="Doubao Seed 2.0 Pro",1,D53="Deepseek Reasoner V3.2",2,D53="Google Gemini 3.1 Pro Preview",3,D53="OpenAI ChatGPT 5.4 Pro",4)</f>
        <v>4</v>
      </c>
      <c r="F53" s="3" t="str">
        <f t="shared" si="0"/>
        <v>US</v>
      </c>
      <c r="G53" s="3" t="s">
        <v>418</v>
      </c>
      <c r="H53" s="3" t="s">
        <v>123</v>
      </c>
      <c r="I53" s="4"/>
      <c r="J53" s="4"/>
      <c r="K53" s="4"/>
      <c r="L53" s="4"/>
      <c r="M53" s="4"/>
    </row>
    <row r="54" spans="1:13">
      <c r="A54" s="3" t="str">
        <f t="shared" si="1"/>
        <v>European Union-gov</v>
      </c>
      <c r="B54" s="3" t="s">
        <v>21</v>
      </c>
      <c r="C54" s="3" t="s">
        <v>265</v>
      </c>
      <c r="D54" s="3" t="s">
        <v>329</v>
      </c>
      <c r="E54" s="3" cm="1">
        <f t="array" ref="E54">_xlfn.IFS(D54="Doubao Seed 2.0 Pro",1,D54="Deepseek Reasoner V3.2",2,D54="Google Gemini 3.1 Pro Preview",3,D54="OpenAI ChatGPT 5.4 Pro",4)</f>
        <v>4</v>
      </c>
      <c r="F54" s="3" t="str">
        <f t="shared" si="0"/>
        <v>US</v>
      </c>
      <c r="G54" s="3" t="s">
        <v>121</v>
      </c>
      <c r="H54" s="3" t="s">
        <v>121</v>
      </c>
      <c r="I54" s="4"/>
      <c r="J54" s="4"/>
      <c r="K54" s="4"/>
      <c r="L54" s="4"/>
      <c r="M54" s="4"/>
    </row>
    <row r="55" spans="1:13">
      <c r="A55" s="3" t="str">
        <f t="shared" si="1"/>
        <v>European Union-gov</v>
      </c>
      <c r="B55" s="3" t="s">
        <v>21</v>
      </c>
      <c r="C55" s="3" t="s">
        <v>265</v>
      </c>
      <c r="D55" s="3" t="s">
        <v>329</v>
      </c>
      <c r="E55" s="3" cm="1">
        <f t="array" ref="E55">_xlfn.IFS(D55="Doubao Seed 2.0 Pro",1,D55="Deepseek Reasoner V3.2",2,D55="Google Gemini 3.1 Pro Preview",3,D55="OpenAI ChatGPT 5.4 Pro",4)</f>
        <v>4</v>
      </c>
      <c r="F55" s="3" t="str">
        <f t="shared" si="0"/>
        <v>US</v>
      </c>
      <c r="G55" s="3" t="s">
        <v>394</v>
      </c>
      <c r="H55" s="3" t="s">
        <v>85</v>
      </c>
      <c r="I55" s="4"/>
      <c r="J55" s="4"/>
      <c r="K55" s="4"/>
      <c r="L55" s="4"/>
      <c r="M55" s="4"/>
    </row>
    <row r="56" spans="1:13">
      <c r="A56" s="3" t="str">
        <f t="shared" si="1"/>
        <v>European Union-gov</v>
      </c>
      <c r="B56" s="3" t="s">
        <v>21</v>
      </c>
      <c r="C56" s="3" t="s">
        <v>265</v>
      </c>
      <c r="D56" s="3" t="s">
        <v>329</v>
      </c>
      <c r="E56" s="3" cm="1">
        <f t="array" ref="E56">_xlfn.IFS(D56="Doubao Seed 2.0 Pro",1,D56="Deepseek Reasoner V3.2",2,D56="Google Gemini 3.1 Pro Preview",3,D56="OpenAI ChatGPT 5.4 Pro",4)</f>
        <v>4</v>
      </c>
      <c r="F56" s="3" t="str">
        <f t="shared" si="0"/>
        <v>US</v>
      </c>
      <c r="G56" s="3" t="s">
        <v>290</v>
      </c>
      <c r="H56" s="3" t="s">
        <v>85</v>
      </c>
      <c r="I56" s="4"/>
      <c r="J56" s="4"/>
      <c r="K56" s="4"/>
      <c r="L56" s="4"/>
      <c r="M56" s="4"/>
    </row>
    <row r="57" spans="1:13">
      <c r="A57" s="3" t="str">
        <f t="shared" si="1"/>
        <v>European Union-gov</v>
      </c>
      <c r="B57" s="3" t="s">
        <v>21</v>
      </c>
      <c r="C57" s="3" t="s">
        <v>265</v>
      </c>
      <c r="D57" s="3" t="s">
        <v>329</v>
      </c>
      <c r="E57" s="3" cm="1">
        <f t="array" ref="E57">_xlfn.IFS(D57="Doubao Seed 2.0 Pro",1,D57="Deepseek Reasoner V3.2",2,D57="Google Gemini 3.1 Pro Preview",3,D57="OpenAI ChatGPT 5.4 Pro",4)</f>
        <v>4</v>
      </c>
      <c r="F57" s="3" t="str">
        <f t="shared" si="0"/>
        <v>US</v>
      </c>
      <c r="G57" s="3" t="s">
        <v>400</v>
      </c>
      <c r="H57" s="3" t="s">
        <v>95</v>
      </c>
      <c r="I57" s="4"/>
      <c r="J57" s="4"/>
      <c r="K57" s="4"/>
      <c r="L57" s="4"/>
      <c r="M57" s="4"/>
    </row>
    <row r="58" spans="1:13">
      <c r="A58" s="3" t="str">
        <f t="shared" si="1"/>
        <v>European Union-gov</v>
      </c>
      <c r="B58" s="3" t="s">
        <v>21</v>
      </c>
      <c r="C58" s="3" t="s">
        <v>265</v>
      </c>
      <c r="D58" s="3" t="s">
        <v>329</v>
      </c>
      <c r="E58" s="3" cm="1">
        <f t="array" ref="E58">_xlfn.IFS(D58="Doubao Seed 2.0 Pro",1,D58="Deepseek Reasoner V3.2",2,D58="Google Gemini 3.1 Pro Preview",3,D58="OpenAI ChatGPT 5.4 Pro",4)</f>
        <v>4</v>
      </c>
      <c r="F58" s="3" t="str">
        <f t="shared" si="0"/>
        <v>US</v>
      </c>
      <c r="G58" s="3" t="s">
        <v>445</v>
      </c>
      <c r="H58" s="3" t="s">
        <v>106</v>
      </c>
      <c r="I58" s="4"/>
      <c r="J58" s="4"/>
      <c r="K58" s="4"/>
      <c r="L58" s="4"/>
      <c r="M58" s="4"/>
    </row>
    <row r="59" spans="1:13">
      <c r="A59" s="3" t="str">
        <f t="shared" si="1"/>
        <v>European Union-gov</v>
      </c>
      <c r="B59" s="3" t="s">
        <v>21</v>
      </c>
      <c r="C59" s="3" t="s">
        <v>265</v>
      </c>
      <c r="D59" s="3" t="s">
        <v>329</v>
      </c>
      <c r="E59" s="3" cm="1">
        <f t="array" ref="E59">_xlfn.IFS(D59="Doubao Seed 2.0 Pro",1,D59="Deepseek Reasoner V3.2",2,D59="Google Gemini 3.1 Pro Preview",3,D59="OpenAI ChatGPT 5.4 Pro",4)</f>
        <v>4</v>
      </c>
      <c r="F59" s="3" t="str">
        <f t="shared" si="0"/>
        <v>US</v>
      </c>
      <c r="G59" s="3" t="s">
        <v>304</v>
      </c>
      <c r="H59" s="3" t="s">
        <v>93</v>
      </c>
      <c r="I59" s="4"/>
      <c r="J59" s="4"/>
      <c r="K59" s="4"/>
      <c r="L59" s="4"/>
      <c r="M59" s="4"/>
    </row>
    <row r="60" spans="1:13">
      <c r="A60" s="3" t="str">
        <f t="shared" si="1"/>
        <v>European Union-gov</v>
      </c>
      <c r="B60" s="3" t="s">
        <v>21</v>
      </c>
      <c r="C60" s="3" t="s">
        <v>265</v>
      </c>
      <c r="D60" s="3" t="s">
        <v>329</v>
      </c>
      <c r="E60" s="3" cm="1">
        <f t="array" ref="E60">_xlfn.IFS(D60="Doubao Seed 2.0 Pro",1,D60="Deepseek Reasoner V3.2",2,D60="Google Gemini 3.1 Pro Preview",3,D60="OpenAI ChatGPT 5.4 Pro",4)</f>
        <v>4</v>
      </c>
      <c r="F60" s="3" t="str">
        <f t="shared" si="0"/>
        <v>US</v>
      </c>
      <c r="G60" s="3" t="s">
        <v>338</v>
      </c>
      <c r="H60" s="3" t="s">
        <v>117</v>
      </c>
      <c r="I60" s="4"/>
      <c r="J60" s="4"/>
      <c r="K60" s="4"/>
      <c r="L60" s="4"/>
      <c r="M60" s="4"/>
    </row>
    <row r="61" spans="1:13">
      <c r="A61" s="3" t="str">
        <f t="shared" si="1"/>
        <v>European Union-gov</v>
      </c>
      <c r="B61" s="3" t="s">
        <v>21</v>
      </c>
      <c r="C61" s="3" t="s">
        <v>265</v>
      </c>
      <c r="D61" s="3" t="s">
        <v>329</v>
      </c>
      <c r="E61" s="3" cm="1">
        <f t="array" ref="E61">_xlfn.IFS(D61="Doubao Seed 2.0 Pro",1,D61="Deepseek Reasoner V3.2",2,D61="Google Gemini 3.1 Pro Preview",3,D61="OpenAI ChatGPT 5.4 Pro",4)</f>
        <v>4</v>
      </c>
      <c r="F61" s="3" t="str">
        <f t="shared" si="0"/>
        <v>US</v>
      </c>
      <c r="G61" s="3" t="s">
        <v>391</v>
      </c>
      <c r="H61" s="3" t="s">
        <v>113</v>
      </c>
      <c r="I61" s="4"/>
      <c r="J61" s="4"/>
      <c r="K61" s="4"/>
      <c r="L61" s="4"/>
      <c r="M61" s="4"/>
    </row>
    <row r="62" spans="1:13">
      <c r="A62" s="3" t="str">
        <f t="shared" si="1"/>
        <v>European Union-gov</v>
      </c>
      <c r="B62" s="3" t="s">
        <v>21</v>
      </c>
      <c r="C62" s="3" t="s">
        <v>265</v>
      </c>
      <c r="D62" s="3" t="s">
        <v>329</v>
      </c>
      <c r="E62" s="3" cm="1">
        <f t="array" ref="E62">_xlfn.IFS(D62="Doubao Seed 2.0 Pro",1,D62="Deepseek Reasoner V3.2",2,D62="Google Gemini 3.1 Pro Preview",3,D62="OpenAI ChatGPT 5.4 Pro",4)</f>
        <v>4</v>
      </c>
      <c r="F62" s="3" t="str">
        <f t="shared" si="0"/>
        <v>US</v>
      </c>
      <c r="G62" s="3" t="s">
        <v>395</v>
      </c>
      <c r="H62" s="3" t="s">
        <v>219</v>
      </c>
      <c r="I62" s="4"/>
      <c r="J62" s="4"/>
      <c r="K62" s="4"/>
      <c r="L62" s="4"/>
      <c r="M62" s="4"/>
    </row>
    <row r="63" spans="1:13">
      <c r="A63" s="4" t="s">
        <v>419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3" t="str">
        <f>C66&amp;"-"&amp;B66</f>
        <v>European Union-gov</v>
      </c>
      <c r="B66" s="3" t="s">
        <v>21</v>
      </c>
      <c r="C66" s="6" t="s">
        <v>265</v>
      </c>
      <c r="D66" s="4" t="s">
        <v>197</v>
      </c>
      <c r="E66" s="4"/>
      <c r="F66" s="4"/>
      <c r="G66" s="4"/>
      <c r="H66" s="12" t="s">
        <v>23</v>
      </c>
      <c r="I66" s="8" t="s">
        <v>217</v>
      </c>
      <c r="J66" s="7" t="s">
        <v>31</v>
      </c>
      <c r="K66" s="7" t="s">
        <v>32</v>
      </c>
      <c r="L66" s="8"/>
      <c r="M66" s="8"/>
    </row>
    <row r="67" spans="1:13">
      <c r="A67" s="3" t="str">
        <f t="shared" ref="A67:A91" si="2">C67&amp;"-"&amp;B67</f>
        <v>European Union-gov</v>
      </c>
      <c r="B67" s="3" t="s">
        <v>21</v>
      </c>
      <c r="C67" s="6" t="s">
        <v>265</v>
      </c>
      <c r="D67" s="4"/>
      <c r="E67" s="4"/>
      <c r="F67" s="4"/>
      <c r="G67" s="4"/>
      <c r="H67" s="12" t="s">
        <v>47</v>
      </c>
      <c r="I67" s="8" t="s">
        <v>217</v>
      </c>
      <c r="J67" s="7" t="s">
        <v>31</v>
      </c>
      <c r="K67" s="7" t="s">
        <v>32</v>
      </c>
      <c r="L67" s="8"/>
      <c r="M67" s="8"/>
    </row>
    <row r="68" spans="1:13">
      <c r="A68" s="3" t="str">
        <f t="shared" si="2"/>
        <v>European Union-gov</v>
      </c>
      <c r="B68" s="3" t="s">
        <v>21</v>
      </c>
      <c r="C68" s="6" t="s">
        <v>265</v>
      </c>
      <c r="D68" s="4"/>
      <c r="E68" s="4"/>
      <c r="F68" s="4"/>
      <c r="G68" s="4"/>
      <c r="H68" s="12" t="s">
        <v>58</v>
      </c>
      <c r="I68" s="8" t="s">
        <v>217</v>
      </c>
      <c r="J68" s="7">
        <v>96249</v>
      </c>
      <c r="K68" s="7" t="s">
        <v>32</v>
      </c>
      <c r="L68" s="8"/>
      <c r="M68" s="8"/>
    </row>
    <row r="69" spans="1:13">
      <c r="A69" s="3" t="str">
        <f t="shared" si="2"/>
        <v>European Union-gov</v>
      </c>
      <c r="B69" s="3" t="s">
        <v>21</v>
      </c>
      <c r="C69" s="6" t="s">
        <v>265</v>
      </c>
      <c r="D69" s="4"/>
      <c r="E69" s="4"/>
      <c r="F69" s="4"/>
      <c r="G69" s="4"/>
      <c r="H69" s="3" t="s">
        <v>211</v>
      </c>
      <c r="I69" s="8">
        <v>1</v>
      </c>
      <c r="J69" s="8"/>
      <c r="K69" s="8"/>
      <c r="L69" s="8" t="s">
        <v>199</v>
      </c>
      <c r="M69" s="8" t="s">
        <v>200</v>
      </c>
    </row>
    <row r="70" spans="1:13">
      <c r="A70" s="3" t="str">
        <f t="shared" si="2"/>
        <v>European Union-gov</v>
      </c>
      <c r="B70" s="3" t="s">
        <v>21</v>
      </c>
      <c r="C70" s="6" t="s">
        <v>265</v>
      </c>
      <c r="D70" s="4"/>
      <c r="E70" s="4"/>
      <c r="F70" s="4"/>
      <c r="G70" s="4"/>
      <c r="H70" s="12" t="s">
        <v>80</v>
      </c>
      <c r="I70" s="8" t="s">
        <v>217</v>
      </c>
      <c r="J70" s="7" t="s">
        <v>31</v>
      </c>
      <c r="K70" s="7" t="s">
        <v>32</v>
      </c>
      <c r="L70" s="8"/>
      <c r="M70" s="8"/>
    </row>
    <row r="71" spans="1:13">
      <c r="A71" s="3" t="str">
        <f t="shared" si="2"/>
        <v>European Union-gov</v>
      </c>
      <c r="B71" s="3" t="s">
        <v>21</v>
      </c>
      <c r="C71" s="6" t="s">
        <v>265</v>
      </c>
      <c r="D71" s="4"/>
      <c r="E71" s="4"/>
      <c r="F71" s="4"/>
      <c r="G71" s="4"/>
      <c r="H71" s="3" t="s">
        <v>85</v>
      </c>
      <c r="I71" s="8">
        <v>1</v>
      </c>
      <c r="J71" s="8"/>
      <c r="K71" s="8"/>
      <c r="L71" s="8" t="s">
        <v>24</v>
      </c>
      <c r="M71" s="8" t="s">
        <v>25</v>
      </c>
    </row>
    <row r="72" spans="1:13">
      <c r="A72" s="3" t="str">
        <f t="shared" si="2"/>
        <v>European Union-gov</v>
      </c>
      <c r="B72" s="3" t="s">
        <v>21</v>
      </c>
      <c r="C72" s="6" t="s">
        <v>265</v>
      </c>
      <c r="D72" s="4"/>
      <c r="E72" s="4"/>
      <c r="F72" s="4"/>
      <c r="G72" s="4"/>
      <c r="H72" s="3" t="s">
        <v>93</v>
      </c>
      <c r="I72" s="8">
        <v>1</v>
      </c>
      <c r="J72" s="8"/>
      <c r="K72" s="8"/>
      <c r="L72" s="8" t="s">
        <v>24</v>
      </c>
      <c r="M72" s="8" t="s">
        <v>25</v>
      </c>
    </row>
    <row r="73" spans="1:13">
      <c r="A73" s="3" t="str">
        <f t="shared" si="2"/>
        <v>European Union-gov</v>
      </c>
      <c r="B73" s="3" t="s">
        <v>21</v>
      </c>
      <c r="C73" s="6" t="s">
        <v>265</v>
      </c>
      <c r="D73" s="4"/>
      <c r="E73" s="4"/>
      <c r="F73" s="4"/>
      <c r="G73" s="4"/>
      <c r="H73" s="3" t="s">
        <v>248</v>
      </c>
      <c r="I73" s="8">
        <v>1</v>
      </c>
      <c r="J73" s="8"/>
      <c r="K73" s="8"/>
      <c r="L73" s="8" t="s">
        <v>199</v>
      </c>
      <c r="M73" s="8" t="s">
        <v>200</v>
      </c>
    </row>
    <row r="74" spans="1:13">
      <c r="A74" s="3" t="str">
        <f t="shared" si="2"/>
        <v>European Union-gov</v>
      </c>
      <c r="B74" s="3" t="s">
        <v>21</v>
      </c>
      <c r="C74" s="6" t="s">
        <v>265</v>
      </c>
      <c r="D74" s="4"/>
      <c r="E74" s="4"/>
      <c r="F74" s="4"/>
      <c r="G74" s="4"/>
      <c r="H74" s="3" t="s">
        <v>95</v>
      </c>
      <c r="I74" s="8">
        <v>1</v>
      </c>
      <c r="J74" s="8"/>
      <c r="K74" s="8"/>
      <c r="L74" s="8" t="s">
        <v>24</v>
      </c>
      <c r="M74" s="8" t="s">
        <v>55</v>
      </c>
    </row>
    <row r="75" spans="1:13">
      <c r="A75" s="3" t="str">
        <f t="shared" si="2"/>
        <v>European Union-gov</v>
      </c>
      <c r="B75" s="3" t="s">
        <v>21</v>
      </c>
      <c r="C75" s="6" t="s">
        <v>265</v>
      </c>
      <c r="D75" s="4"/>
      <c r="E75" s="4"/>
      <c r="F75" s="4"/>
      <c r="G75" s="4"/>
      <c r="H75" s="3" t="s">
        <v>100</v>
      </c>
      <c r="I75" s="8">
        <v>1</v>
      </c>
      <c r="J75" s="8"/>
      <c r="K75" s="8"/>
      <c r="L75" s="8" t="s">
        <v>24</v>
      </c>
      <c r="M75" s="8" t="s">
        <v>25</v>
      </c>
    </row>
    <row r="76" spans="1:13">
      <c r="A76" s="3" t="str">
        <f t="shared" si="2"/>
        <v>European Union-gov</v>
      </c>
      <c r="B76" s="3" t="s">
        <v>21</v>
      </c>
      <c r="C76" s="6" t="s">
        <v>265</v>
      </c>
      <c r="D76" s="4"/>
      <c r="E76" s="4"/>
      <c r="F76" s="4"/>
      <c r="G76" s="4"/>
      <c r="H76" s="3" t="s">
        <v>106</v>
      </c>
      <c r="I76" s="8">
        <v>1</v>
      </c>
      <c r="J76" s="8"/>
      <c r="K76" s="8"/>
      <c r="L76" s="8" t="s">
        <v>199</v>
      </c>
      <c r="M76" s="8" t="s">
        <v>200</v>
      </c>
    </row>
    <row r="77" spans="1:13">
      <c r="A77" s="3" t="str">
        <f t="shared" si="2"/>
        <v>European Union-gov</v>
      </c>
      <c r="B77" s="3" t="s">
        <v>21</v>
      </c>
      <c r="C77" s="6" t="s">
        <v>265</v>
      </c>
      <c r="D77" s="4"/>
      <c r="E77" s="4"/>
      <c r="F77" s="4"/>
      <c r="G77" s="4"/>
      <c r="H77" s="12" t="s">
        <v>108</v>
      </c>
      <c r="I77" s="8" t="s">
        <v>217</v>
      </c>
      <c r="J77" s="7">
        <v>78356</v>
      </c>
      <c r="K77" s="7" t="s">
        <v>48</v>
      </c>
      <c r="L77" s="8"/>
      <c r="M77" s="8"/>
    </row>
    <row r="78" spans="1:13">
      <c r="A78" s="3" t="str">
        <f t="shared" si="2"/>
        <v>European Union-gov</v>
      </c>
      <c r="B78" s="3" t="s">
        <v>21</v>
      </c>
      <c r="C78" s="6" t="s">
        <v>265</v>
      </c>
      <c r="D78" s="4"/>
      <c r="E78" s="4"/>
      <c r="F78" s="4"/>
      <c r="G78" s="4"/>
      <c r="H78" s="3" t="s">
        <v>232</v>
      </c>
      <c r="I78" s="8">
        <v>1</v>
      </c>
      <c r="J78" s="8"/>
      <c r="K78" s="8"/>
      <c r="L78" s="8" t="s">
        <v>199</v>
      </c>
      <c r="M78" s="8" t="s">
        <v>200</v>
      </c>
    </row>
    <row r="79" spans="1:13">
      <c r="A79" s="3" t="str">
        <f t="shared" si="2"/>
        <v>European Union-gov</v>
      </c>
      <c r="B79" s="3" t="s">
        <v>21</v>
      </c>
      <c r="C79" s="6" t="s">
        <v>265</v>
      </c>
      <c r="D79" s="4"/>
      <c r="E79" s="4"/>
      <c r="F79" s="4"/>
      <c r="G79" s="4"/>
      <c r="H79" s="12" t="s">
        <v>113</v>
      </c>
      <c r="I79" s="8" t="s">
        <v>217</v>
      </c>
      <c r="J79" s="7">
        <v>63713</v>
      </c>
      <c r="K79" s="7" t="s">
        <v>32</v>
      </c>
      <c r="L79" s="8"/>
      <c r="M79" s="8"/>
    </row>
    <row r="80" spans="1:13">
      <c r="A80" s="3" t="str">
        <f t="shared" si="2"/>
        <v>European Union-gov</v>
      </c>
      <c r="B80" s="3" t="s">
        <v>21</v>
      </c>
      <c r="C80" s="6" t="s">
        <v>265</v>
      </c>
      <c r="D80" s="4"/>
      <c r="E80" s="4"/>
      <c r="F80" s="4"/>
      <c r="G80" s="4"/>
      <c r="H80" s="12" t="s">
        <v>116</v>
      </c>
      <c r="I80" s="8" t="s">
        <v>217</v>
      </c>
      <c r="J80" s="7" t="s">
        <v>31</v>
      </c>
      <c r="K80" s="7" t="s">
        <v>32</v>
      </c>
      <c r="L80" s="8"/>
      <c r="M80" s="8"/>
    </row>
    <row r="81" spans="1:13">
      <c r="A81" s="3" t="str">
        <f t="shared" si="2"/>
        <v>European Union-gov</v>
      </c>
      <c r="B81" s="3" t="s">
        <v>21</v>
      </c>
      <c r="C81" s="6" t="s">
        <v>265</v>
      </c>
      <c r="D81" s="4"/>
      <c r="E81" s="4"/>
      <c r="F81" s="4"/>
      <c r="G81" s="4"/>
      <c r="H81" s="3" t="s">
        <v>117</v>
      </c>
      <c r="I81" s="8">
        <v>1</v>
      </c>
      <c r="J81" s="8"/>
      <c r="K81" s="8"/>
      <c r="L81" s="8" t="s">
        <v>199</v>
      </c>
      <c r="M81" s="8" t="s">
        <v>200</v>
      </c>
    </row>
    <row r="82" spans="1:13">
      <c r="A82" s="3" t="str">
        <f t="shared" si="2"/>
        <v>European Union-gov</v>
      </c>
      <c r="B82" s="3" t="s">
        <v>21</v>
      </c>
      <c r="C82" s="6" t="s">
        <v>265</v>
      </c>
      <c r="D82" s="4"/>
      <c r="E82" s="4"/>
      <c r="F82" s="4"/>
      <c r="G82" s="4"/>
      <c r="H82" s="12" t="s">
        <v>121</v>
      </c>
      <c r="I82" s="8" t="s">
        <v>217</v>
      </c>
      <c r="J82" s="7">
        <v>42744</v>
      </c>
      <c r="K82" s="7" t="s">
        <v>48</v>
      </c>
      <c r="L82" s="8"/>
      <c r="M82" s="8"/>
    </row>
    <row r="83" spans="1:13">
      <c r="A83" s="3" t="str">
        <f t="shared" si="2"/>
        <v>European Union-gov</v>
      </c>
      <c r="B83" s="3" t="s">
        <v>21</v>
      </c>
      <c r="C83" s="6" t="s">
        <v>265</v>
      </c>
      <c r="D83" s="4"/>
      <c r="E83" s="4"/>
      <c r="F83" s="4"/>
      <c r="G83" s="4"/>
      <c r="H83" s="3" t="s">
        <v>122</v>
      </c>
      <c r="I83" s="8">
        <v>1</v>
      </c>
      <c r="J83" s="8"/>
      <c r="K83" s="8"/>
      <c r="L83" s="8" t="s">
        <v>24</v>
      </c>
      <c r="M83" s="8" t="s">
        <v>55</v>
      </c>
    </row>
    <row r="84" spans="1:13">
      <c r="A84" s="3" t="str">
        <f t="shared" si="2"/>
        <v>European Union-gov</v>
      </c>
      <c r="B84" s="3" t="s">
        <v>21</v>
      </c>
      <c r="C84" s="6" t="s">
        <v>265</v>
      </c>
      <c r="D84" s="4"/>
      <c r="E84" s="4"/>
      <c r="F84" s="4"/>
      <c r="G84" s="4"/>
      <c r="H84" s="3" t="s">
        <v>219</v>
      </c>
      <c r="I84" s="8">
        <v>1</v>
      </c>
      <c r="J84" s="8"/>
      <c r="K84" s="8"/>
      <c r="L84" s="8" t="s">
        <v>199</v>
      </c>
      <c r="M84" s="8" t="s">
        <v>200</v>
      </c>
    </row>
    <row r="85" spans="1:13">
      <c r="A85" s="3" t="str">
        <f t="shared" si="2"/>
        <v>European Union-gov</v>
      </c>
      <c r="B85" s="3" t="s">
        <v>21</v>
      </c>
      <c r="C85" s="6" t="s">
        <v>265</v>
      </c>
      <c r="D85" s="4"/>
      <c r="E85" s="4"/>
      <c r="F85" s="4"/>
      <c r="G85" s="4"/>
      <c r="H85" s="3" t="s">
        <v>123</v>
      </c>
      <c r="I85" s="8">
        <v>1</v>
      </c>
      <c r="J85" s="8"/>
      <c r="K85" s="8"/>
      <c r="L85" s="8" t="s">
        <v>24</v>
      </c>
      <c r="M85" s="8" t="s">
        <v>55</v>
      </c>
    </row>
    <row r="86" spans="1:13">
      <c r="A86" s="3" t="str">
        <f t="shared" si="2"/>
        <v>European Union-gov</v>
      </c>
      <c r="B86" s="3" t="s">
        <v>21</v>
      </c>
      <c r="C86" s="6" t="s">
        <v>265</v>
      </c>
      <c r="D86" s="4"/>
      <c r="E86" s="4"/>
      <c r="F86" s="4"/>
      <c r="G86" s="4"/>
      <c r="H86" s="3" t="s">
        <v>124</v>
      </c>
      <c r="I86" s="8">
        <v>1</v>
      </c>
      <c r="J86" s="8"/>
      <c r="K86" s="8"/>
      <c r="L86" s="8" t="s">
        <v>199</v>
      </c>
      <c r="M86" s="8" t="s">
        <v>200</v>
      </c>
    </row>
    <row r="87" spans="1:13">
      <c r="A87" s="3" t="str">
        <f t="shared" si="2"/>
        <v>European Union-gov</v>
      </c>
      <c r="B87" s="3" t="s">
        <v>21</v>
      </c>
      <c r="C87" s="6" t="s">
        <v>265</v>
      </c>
      <c r="D87" s="4"/>
      <c r="E87" s="4"/>
      <c r="F87" s="4"/>
      <c r="G87" s="4"/>
      <c r="H87" s="3" t="s">
        <v>125</v>
      </c>
      <c r="I87" s="3">
        <v>1</v>
      </c>
      <c r="J87" s="3"/>
      <c r="K87" s="3"/>
      <c r="L87" s="3" t="s">
        <v>24</v>
      </c>
      <c r="M87" s="3" t="s">
        <v>55</v>
      </c>
    </row>
    <row r="88" spans="1:13">
      <c r="A88" s="3" t="str">
        <f t="shared" si="2"/>
        <v>European Union-gov</v>
      </c>
      <c r="B88" s="3" t="s">
        <v>21</v>
      </c>
      <c r="C88" s="6" t="s">
        <v>265</v>
      </c>
      <c r="D88" s="4"/>
      <c r="E88" s="4"/>
      <c r="F88" s="4"/>
      <c r="G88" s="4"/>
      <c r="H88" s="3" t="s">
        <v>126</v>
      </c>
      <c r="I88" s="8">
        <v>1</v>
      </c>
      <c r="J88" s="8"/>
      <c r="K88" s="8"/>
      <c r="L88" s="8" t="s">
        <v>199</v>
      </c>
      <c r="M88" s="8" t="s">
        <v>200</v>
      </c>
    </row>
    <row r="89" spans="1:13">
      <c r="A89" s="3" t="str">
        <f t="shared" si="2"/>
        <v>European Union-gov</v>
      </c>
      <c r="B89" s="3" t="s">
        <v>21</v>
      </c>
      <c r="C89" s="6" t="s">
        <v>265</v>
      </c>
      <c r="D89" s="4"/>
      <c r="E89" s="4"/>
      <c r="F89" s="4"/>
      <c r="G89" s="4"/>
      <c r="H89" s="12" t="s">
        <v>129</v>
      </c>
      <c r="I89" s="3" t="s">
        <v>217</v>
      </c>
      <c r="J89" s="13">
        <v>18153</v>
      </c>
      <c r="K89" s="13" t="s">
        <v>32</v>
      </c>
      <c r="L89" s="3"/>
      <c r="M89" s="3"/>
    </row>
    <row r="90" ht="32" customHeight="1" spans="1:13">
      <c r="A90" s="3" t="str">
        <f t="shared" si="2"/>
        <v>European Union-gov</v>
      </c>
      <c r="B90" s="3" t="s">
        <v>21</v>
      </c>
      <c r="C90" s="6" t="s">
        <v>265</v>
      </c>
      <c r="D90" s="4"/>
      <c r="E90" s="4"/>
      <c r="F90" s="4"/>
      <c r="G90" s="4"/>
      <c r="H90" s="3" t="s">
        <v>216</v>
      </c>
      <c r="I90" s="8">
        <v>1</v>
      </c>
      <c r="J90" s="8"/>
      <c r="K90" s="8"/>
      <c r="L90" s="8" t="s">
        <v>199</v>
      </c>
      <c r="M90" s="8" t="s">
        <v>200</v>
      </c>
    </row>
    <row r="91" spans="1:13">
      <c r="A91" s="3" t="str">
        <f t="shared" si="2"/>
        <v>European Union-gov</v>
      </c>
      <c r="B91" s="3" t="s">
        <v>21</v>
      </c>
      <c r="C91" s="6" t="s">
        <v>265</v>
      </c>
      <c r="D91" s="4"/>
      <c r="E91" s="4"/>
      <c r="F91" s="4"/>
      <c r="G91" s="4"/>
      <c r="H91" s="12" t="s">
        <v>130</v>
      </c>
      <c r="I91" s="3" t="s">
        <v>217</v>
      </c>
      <c r="J91" s="13">
        <v>50882</v>
      </c>
      <c r="K91" s="13" t="s">
        <v>48</v>
      </c>
      <c r="L91" s="3"/>
      <c r="M91" s="3"/>
    </row>
    <row r="92" spans="1:13">
      <c r="G92" s="1"/>
      <c r="H92" s="1"/>
    </row>
    <row r="93" spans="1:13">
      <c r="G93" s="1"/>
      <c r="H93" s="1"/>
    </row>
    <row r="94" spans="1:13">
      <c r="G94" s="1"/>
      <c r="H94" s="1"/>
    </row>
    <row r="95" spans="1:13">
      <c r="G95" s="1"/>
      <c r="H95" s="1"/>
    </row>
    <row r="96" spans="1:13">
      <c r="G96" s="1"/>
      <c r="H96" s="1"/>
    </row>
    <row r="97" spans="7:8">
      <c r="G97" s="1"/>
      <c r="H97" s="1"/>
    </row>
    <row r="98" spans="7:8">
      <c r="G98" s="1"/>
      <c r="H98" s="1"/>
    </row>
    <row r="99" spans="7:8">
      <c r="G99" s="1"/>
      <c r="H99" s="1"/>
    </row>
    <row r="100" spans="7:8">
      <c r="G100" s="1"/>
      <c r="H100" s="1"/>
    </row>
    <row r="101" spans="7:8">
      <c r="G101" s="1"/>
      <c r="H101" s="1"/>
    </row>
    <row r="102" spans="7:8">
      <c r="G102" s="1"/>
      <c r="H102" s="1"/>
    </row>
    <row r="103" spans="7:8">
      <c r="G103" s="1"/>
      <c r="H103" s="1"/>
    </row>
    <row r="104" spans="7:8">
      <c r="G104" s="1"/>
      <c r="H104" s="1"/>
    </row>
    <row r="105" spans="7:8">
      <c r="G105" s="1"/>
      <c r="H105" s="1"/>
    </row>
    <row r="106" spans="7:8">
      <c r="G106" s="1"/>
      <c r="H106" s="1"/>
    </row>
    <row r="107" spans="7:8">
      <c r="G107" s="1"/>
      <c r="H107" s="1"/>
    </row>
    <row r="108" spans="7:8">
      <c r="G108" s="1"/>
      <c r="H108" s="1"/>
    </row>
    <row r="109" spans="7:8">
      <c r="G109" s="1"/>
      <c r="H109" s="1"/>
    </row>
    <row r="110" spans="7:8">
      <c r="G110" s="1"/>
      <c r="H110" s="1"/>
    </row>
    <row r="111" spans="7:8">
      <c r="G111" s="1"/>
      <c r="H111" s="1"/>
    </row>
    <row r="112" spans="7:8">
      <c r="G112" s="1"/>
      <c r="H112" s="1"/>
    </row>
    <row r="113" spans="7:8">
      <c r="G113" s="1"/>
      <c r="H113" s="1"/>
    </row>
    <row r="114" spans="7:8">
      <c r="G114" s="1"/>
      <c r="H114" s="1"/>
    </row>
    <row r="115" spans="7:8">
      <c r="G115" s="1"/>
      <c r="H115" s="1"/>
    </row>
    <row r="116" spans="7:8">
      <c r="G116" s="1"/>
      <c r="H116" s="1"/>
    </row>
    <row r="117" spans="7:8">
      <c r="G117" s="1"/>
      <c r="H117" s="1"/>
    </row>
    <row r="118" spans="7:8">
      <c r="G118" s="1"/>
      <c r="H118" s="1"/>
    </row>
    <row r="119" spans="7:8">
      <c r="G119" s="1"/>
      <c r="H119" s="1"/>
    </row>
    <row r="120" spans="7:8">
      <c r="G120" s="1"/>
      <c r="H120" s="1"/>
    </row>
    <row r="121" spans="7:8">
      <c r="G121" s="1"/>
      <c r="H121" s="1"/>
    </row>
    <row r="122" spans="7:8">
      <c r="G122" s="1"/>
      <c r="H122" s="1"/>
    </row>
    <row r="123" spans="7:8">
      <c r="G123" s="1"/>
      <c r="H123" s="1"/>
    </row>
    <row r="124" spans="7:8">
      <c r="G124" s="1"/>
      <c r="H124" s="1"/>
    </row>
    <row r="125" spans="7:8">
      <c r="G125" s="1"/>
      <c r="H125" s="1"/>
    </row>
    <row r="126" spans="7:8">
      <c r="G126" s="1"/>
      <c r="H126" s="1"/>
    </row>
    <row r="127" spans="7:8">
      <c r="G127" s="1"/>
      <c r="H127" s="1"/>
    </row>
    <row r="128" spans="7:8">
      <c r="G128" s="1"/>
      <c r="H128" s="1"/>
    </row>
    <row r="129" spans="7:8">
      <c r="G129" s="1"/>
      <c r="H129" s="1"/>
    </row>
    <row r="130" spans="7:8">
      <c r="G130" s="1"/>
      <c r="H130" s="1"/>
    </row>
    <row r="131" spans="7:8">
      <c r="G131" s="1"/>
      <c r="H131" s="1"/>
    </row>
    <row r="132" spans="7:8">
      <c r="G132" s="1"/>
      <c r="H132" s="1"/>
    </row>
    <row r="133" spans="7:8">
      <c r="G133" s="1"/>
      <c r="H133" s="1"/>
    </row>
    <row r="134" spans="7:8">
      <c r="G134" s="1"/>
      <c r="H134" s="1"/>
    </row>
    <row r="135" spans="7:8">
      <c r="G135" s="1"/>
      <c r="H135" s="10"/>
    </row>
    <row r="136" spans="7:8">
      <c r="G136" s="1"/>
      <c r="H136" s="1"/>
    </row>
    <row r="137" spans="7:8">
      <c r="G137" s="1"/>
      <c r="H137" s="1"/>
    </row>
    <row r="138" spans="7:8">
      <c r="G138" s="1"/>
      <c r="H138" s="1"/>
    </row>
    <row r="139" spans="7:8">
      <c r="G139" s="1"/>
      <c r="H139" s="1"/>
    </row>
    <row r="140" spans="7:8">
      <c r="G140" s="1"/>
      <c r="H140" s="1"/>
    </row>
    <row r="141" spans="7:8">
      <c r="G141" s="1"/>
      <c r="H141" s="1"/>
    </row>
    <row r="142" spans="7:8">
      <c r="G142" s="1"/>
      <c r="H142" s="1"/>
    </row>
    <row r="143" spans="7:8">
      <c r="G143" s="1"/>
      <c r="H143" s="1"/>
    </row>
    <row r="144" spans="7:8">
      <c r="G144" s="1"/>
      <c r="H144" s="1"/>
    </row>
    <row r="145" spans="7:8">
      <c r="G145" s="1"/>
      <c r="H145" s="1"/>
    </row>
    <row r="146" spans="7:8">
      <c r="G146" s="1"/>
      <c r="H146" s="1"/>
    </row>
    <row r="147" spans="7:8">
      <c r="G147" s="1"/>
      <c r="H147" s="1"/>
    </row>
    <row r="148" spans="7:8">
      <c r="G148" s="1"/>
      <c r="H148" s="1"/>
    </row>
    <row r="149" spans="7:8">
      <c r="G149" s="1"/>
      <c r="H149" s="1"/>
    </row>
    <row r="150" spans="7:8">
      <c r="G150" s="1"/>
      <c r="H150" s="1"/>
    </row>
    <row r="151" spans="7:8">
      <c r="G151" s="1"/>
      <c r="H151" s="1"/>
    </row>
    <row r="152" spans="7:8">
      <c r="G152" s="1"/>
      <c r="H152" s="1"/>
    </row>
    <row r="153" spans="7:8">
      <c r="G153" s="1"/>
      <c r="H153" s="1"/>
    </row>
    <row r="154" spans="7:8">
      <c r="G154" s="1"/>
      <c r="H154" s="1"/>
    </row>
    <row r="155" spans="7:8">
      <c r="G155" s="1"/>
      <c r="H155" s="1"/>
    </row>
    <row r="156" spans="7:8">
      <c r="G156" s="1"/>
      <c r="H156" s="1"/>
    </row>
    <row r="157" spans="7:8">
      <c r="G157" s="1"/>
      <c r="H157" s="1"/>
    </row>
    <row r="158" spans="7:8">
      <c r="G158" s="1"/>
      <c r="H158" s="1"/>
    </row>
    <row r="159" spans="7:8">
      <c r="G159" s="1"/>
      <c r="H159" s="1"/>
    </row>
    <row r="160" spans="7:8">
      <c r="G160" s="1"/>
      <c r="H160" s="1"/>
    </row>
    <row r="161" spans="7:8">
      <c r="G161" s="1"/>
      <c r="H161" s="1"/>
    </row>
    <row r="162" spans="7:8">
      <c r="G162" s="1"/>
      <c r="H162" s="1"/>
    </row>
    <row r="163" spans="7:8">
      <c r="G163" s="1"/>
      <c r="H163" s="1"/>
    </row>
    <row r="164" spans="7:8">
      <c r="G164" s="1"/>
      <c r="H164" s="1"/>
    </row>
    <row r="165" spans="7:8">
      <c r="G165" s="1"/>
      <c r="H165" s="1"/>
    </row>
    <row r="166" spans="7:8">
      <c r="G166" s="1"/>
      <c r="H166" s="1"/>
    </row>
    <row r="167" spans="7:8">
      <c r="G167" s="1"/>
      <c r="H167" s="1"/>
    </row>
    <row r="168" spans="7:8">
      <c r="G168" s="1"/>
      <c r="H168" s="1"/>
    </row>
    <row r="169" spans="7:8">
      <c r="G169" s="1"/>
      <c r="H169" s="1"/>
    </row>
    <row r="170" spans="7:8">
      <c r="G170" s="1"/>
      <c r="H170" s="1"/>
    </row>
    <row r="171" spans="7:8">
      <c r="G171" s="1"/>
      <c r="H171" s="1"/>
    </row>
    <row r="172" spans="7:8">
      <c r="G172" s="1"/>
      <c r="H172" s="1"/>
    </row>
    <row r="173" spans="7:8">
      <c r="G173" s="1"/>
      <c r="H173" s="1"/>
    </row>
    <row r="174" spans="7:8">
      <c r="G174" s="1"/>
      <c r="H174" s="1"/>
    </row>
    <row r="175" spans="7:8">
      <c r="G175" s="1"/>
      <c r="H175" s="1"/>
    </row>
    <row r="176" spans="7:8">
      <c r="G176" s="1"/>
      <c r="H176" s="1"/>
    </row>
    <row r="177" spans="7:8">
      <c r="G177" s="1"/>
      <c r="H177" s="1"/>
    </row>
    <row r="178" spans="7:8">
      <c r="G178" s="1"/>
      <c r="H178" s="1"/>
    </row>
    <row r="179" spans="7:8">
      <c r="G179" s="1"/>
      <c r="H179" s="1"/>
    </row>
    <row r="180" spans="7:8">
      <c r="G180" s="1"/>
      <c r="H180" s="1"/>
    </row>
    <row r="181" spans="7:8">
      <c r="G181" s="1"/>
      <c r="H181" s="1"/>
    </row>
    <row r="182" spans="7:8">
      <c r="G182" s="1"/>
      <c r="H182" s="1"/>
    </row>
    <row r="183" spans="7:8">
      <c r="G183" s="1"/>
      <c r="H183" s="1"/>
    </row>
    <row r="184" spans="7:8">
      <c r="G184" s="1"/>
      <c r="H184" s="1"/>
    </row>
    <row r="185" spans="7:8">
      <c r="G185" s="1"/>
      <c r="H185" s="1"/>
    </row>
    <row r="186" spans="7:8">
      <c r="G186" s="1"/>
      <c r="H186" s="1"/>
    </row>
    <row r="187" spans="7:8">
      <c r="G187" s="1"/>
      <c r="H187" s="1"/>
    </row>
    <row r="188" spans="7:8">
      <c r="G188" s="1"/>
      <c r="H188" s="1"/>
    </row>
    <row r="189" spans="7:8">
      <c r="G189" s="1"/>
      <c r="H189" s="1"/>
    </row>
    <row r="190" spans="7:8">
      <c r="G190" s="1"/>
      <c r="H190" s="1"/>
    </row>
    <row r="191" spans="7:8">
      <c r="G191" s="1"/>
      <c r="H191" s="1"/>
    </row>
    <row r="192" spans="7:8">
      <c r="G192" s="1"/>
      <c r="H192" s="1"/>
    </row>
    <row r="193" spans="7:8">
      <c r="G193" s="1"/>
      <c r="H193" s="1"/>
    </row>
    <row r="194" spans="7:8">
      <c r="G194" s="1"/>
      <c r="H194" s="1"/>
    </row>
    <row r="195" spans="7:8">
      <c r="G195" s="1"/>
      <c r="H195" s="1"/>
    </row>
    <row r="196" spans="7:8">
      <c r="G196" s="1"/>
      <c r="H196" s="1"/>
    </row>
    <row r="197" spans="7:8">
      <c r="G197" s="1"/>
      <c r="H197" s="1"/>
    </row>
    <row r="198" spans="7:8">
      <c r="G198" s="1"/>
      <c r="H198" s="1"/>
    </row>
    <row r="199" spans="7:8">
      <c r="G199" s="1"/>
      <c r="H199" s="1"/>
    </row>
    <row r="200" spans="7:8">
      <c r="G200" s="1"/>
      <c r="H200" s="1"/>
    </row>
    <row r="201" spans="7:8">
      <c r="G201" s="1"/>
      <c r="H201" s="1"/>
    </row>
    <row r="202" spans="7:8">
      <c r="G202" s="1"/>
      <c r="H202" s="1"/>
    </row>
    <row r="203" spans="7:8">
      <c r="G203" s="1"/>
      <c r="H203" s="1"/>
    </row>
    <row r="204" spans="7:8">
      <c r="G204" s="1"/>
      <c r="H204" s="1"/>
    </row>
    <row r="205" spans="7:8">
      <c r="G205" s="1"/>
      <c r="H205" s="1"/>
    </row>
    <row r="206" spans="7:8">
      <c r="G206" s="1"/>
      <c r="H206" s="1"/>
    </row>
    <row r="207" spans="7:8">
      <c r="G207" s="1"/>
      <c r="H207" s="1"/>
    </row>
    <row r="208" spans="7:8">
      <c r="G208" s="1"/>
      <c r="H208" s="1"/>
    </row>
    <row r="209" spans="7:8">
      <c r="G209" s="1"/>
      <c r="H209" s="1"/>
    </row>
    <row r="210" spans="7:8">
      <c r="G210" s="1"/>
      <c r="H210" s="1"/>
    </row>
    <row r="211" spans="7:8">
      <c r="G211" s="1"/>
      <c r="H211" s="1"/>
    </row>
    <row r="212" spans="7:8">
      <c r="G212" s="1"/>
      <c r="H212" s="1"/>
    </row>
    <row r="213" spans="7:8">
      <c r="G213" s="1"/>
      <c r="H213" s="1"/>
    </row>
    <row r="214" spans="7:8">
      <c r="G214" s="1"/>
      <c r="H214" s="1"/>
    </row>
    <row r="215" spans="7:8">
      <c r="G215" s="1"/>
      <c r="H215" s="1"/>
    </row>
    <row r="216" spans="7:8">
      <c r="G216" s="1"/>
      <c r="H216" s="1"/>
    </row>
    <row r="217" spans="7:8">
      <c r="G217" s="1"/>
      <c r="H217" s="1"/>
    </row>
    <row r="218" spans="7:8">
      <c r="G218" s="1"/>
      <c r="H218" s="1"/>
    </row>
    <row r="219" spans="7:8">
      <c r="G219" s="1"/>
      <c r="H219" s="1"/>
    </row>
    <row r="220" spans="7:8">
      <c r="G220" s="1"/>
      <c r="H220" s="1"/>
    </row>
    <row r="221" spans="7:8">
      <c r="G221" s="1"/>
      <c r="H221" s="1"/>
    </row>
    <row r="222" spans="7:8">
      <c r="G222" s="1"/>
      <c r="H222" s="1"/>
    </row>
    <row r="223" spans="7:8">
      <c r="G223" s="1"/>
      <c r="H223" s="1"/>
    </row>
    <row r="224" spans="7:8">
      <c r="G224" s="1"/>
      <c r="H224" s="1"/>
    </row>
    <row r="225" spans="7:8">
      <c r="G225" s="1"/>
      <c r="H225" s="1"/>
    </row>
    <row r="226" spans="7:8">
      <c r="G226" s="1"/>
      <c r="H226" s="1"/>
    </row>
    <row r="227" spans="7:8">
      <c r="G227" s="1"/>
      <c r="H227" s="1"/>
    </row>
    <row r="228" spans="7:8">
      <c r="G228" s="1"/>
      <c r="H228" s="1"/>
    </row>
    <row r="229" spans="7:8">
      <c r="G229" s="1"/>
      <c r="H229" s="1"/>
    </row>
    <row r="230" spans="7:8">
      <c r="G230" s="1"/>
      <c r="H230" s="1"/>
    </row>
    <row r="231" spans="7:8">
      <c r="G231" s="1"/>
      <c r="H231" s="1"/>
    </row>
    <row r="232" spans="7:8">
      <c r="G232" s="1"/>
      <c r="H232" s="1"/>
    </row>
    <row r="233" spans="7:8">
      <c r="G233" s="1"/>
      <c r="H233" s="1"/>
    </row>
    <row r="234" spans="7:8">
      <c r="G234" s="1"/>
      <c r="H234" s="1"/>
    </row>
    <row r="235" spans="7:8">
      <c r="G235" s="1"/>
      <c r="H235" s="1"/>
    </row>
    <row r="236" spans="7:8">
      <c r="G236" s="1"/>
      <c r="H236" s="1"/>
    </row>
    <row r="237" spans="7:8">
      <c r="G237" s="1"/>
      <c r="H237" s="1"/>
    </row>
    <row r="238" spans="7:8">
      <c r="G238" s="1"/>
      <c r="H238" s="1"/>
    </row>
    <row r="239" spans="7:8">
      <c r="G239" s="1"/>
      <c r="H239" s="1"/>
    </row>
    <row r="240" spans="7:8">
      <c r="G240" s="1"/>
      <c r="H240" s="1"/>
    </row>
    <row r="241" spans="7:8">
      <c r="G241" s="1"/>
      <c r="H241" s="1"/>
    </row>
    <row r="242" spans="7:8">
      <c r="G242" s="1"/>
      <c r="H242" s="1"/>
    </row>
    <row r="243" spans="7:8">
      <c r="G243" s="1"/>
      <c r="H243" s="1"/>
    </row>
    <row r="244" spans="7:8">
      <c r="G244" s="1"/>
      <c r="H244" s="1"/>
    </row>
    <row r="245" spans="7:8">
      <c r="G245" s="1"/>
      <c r="H245" s="1"/>
    </row>
    <row r="246" spans="7:8">
      <c r="G246" s="1"/>
      <c r="H246" s="1"/>
    </row>
    <row r="247" spans="7:8">
      <c r="G247" s="1"/>
      <c r="H247" s="1"/>
    </row>
    <row r="248" spans="7:8">
      <c r="G248" s="1"/>
      <c r="H248" s="1"/>
    </row>
    <row r="249" spans="7:8">
      <c r="G249" s="1"/>
      <c r="H249" s="1"/>
    </row>
    <row r="250" spans="7:8">
      <c r="G250" s="1"/>
      <c r="H250" s="1"/>
    </row>
    <row r="251" spans="7:8">
      <c r="G251" s="1"/>
      <c r="H251" s="1"/>
    </row>
    <row r="252" spans="7:8">
      <c r="G252" s="1"/>
      <c r="H252" s="1"/>
    </row>
    <row r="253" spans="7:8">
      <c r="G253" s="1"/>
      <c r="H253" s="1"/>
    </row>
    <row r="254" spans="7:8">
      <c r="G254" s="1"/>
      <c r="H254" s="1"/>
    </row>
    <row r="255" spans="7:8">
      <c r="G255" s="1"/>
      <c r="H255" s="1"/>
    </row>
    <row r="256" spans="7:8">
      <c r="G256" s="1"/>
      <c r="H256" s="1"/>
    </row>
    <row r="257" spans="7:8">
      <c r="G257" s="1"/>
      <c r="H257" s="1"/>
    </row>
    <row r="258" spans="7:8">
      <c r="G258" s="1"/>
      <c r="H258" s="1"/>
    </row>
    <row r="259" spans="7:8">
      <c r="G259" s="1"/>
      <c r="H259" s="1"/>
    </row>
    <row r="260" spans="7:8">
      <c r="G260" s="1"/>
      <c r="H260" s="1"/>
    </row>
    <row r="261" spans="7:8">
      <c r="G261" s="1"/>
      <c r="H261" s="1"/>
    </row>
    <row r="262" spans="7:8">
      <c r="G262" s="1"/>
      <c r="H262" s="1"/>
    </row>
    <row r="263" spans="7:8">
      <c r="G263" s="1"/>
      <c r="H263" s="1"/>
    </row>
    <row r="264" spans="7:8">
      <c r="G264" s="1"/>
      <c r="H264" s="1"/>
    </row>
    <row r="265" spans="7:8">
      <c r="G265" s="1"/>
      <c r="H265" s="1"/>
    </row>
    <row r="266" spans="7:8">
      <c r="G266" s="1"/>
      <c r="H266" s="1"/>
    </row>
    <row r="267" spans="7:8">
      <c r="G267" s="1"/>
      <c r="H267" s="1"/>
    </row>
    <row r="268" spans="7:8">
      <c r="G268" s="1"/>
      <c r="H268" s="1"/>
    </row>
    <row r="269" spans="7:8">
      <c r="G269" s="1"/>
      <c r="H269" s="1"/>
    </row>
    <row r="270" spans="7:8">
      <c r="G270" s="1"/>
      <c r="H270" s="1"/>
    </row>
    <row r="271" spans="7:8">
      <c r="G271" s="1"/>
      <c r="H271" s="1"/>
    </row>
    <row r="272" spans="7:8">
      <c r="G272" s="1"/>
      <c r="H272" s="1"/>
    </row>
    <row r="273" spans="7:8">
      <c r="G273" s="1"/>
      <c r="H273" s="1"/>
    </row>
    <row r="274" spans="7:8">
      <c r="G274" s="1"/>
      <c r="H274" s="1"/>
    </row>
    <row r="275" spans="7:8">
      <c r="G275" s="1"/>
      <c r="H275" s="1"/>
    </row>
    <row r="276" spans="7:8">
      <c r="G276" s="1"/>
      <c r="H276" s="1"/>
    </row>
    <row r="277" spans="7:8">
      <c r="G277" s="1"/>
      <c r="H277" s="1"/>
    </row>
    <row r="278" spans="7:8">
      <c r="G278" s="1"/>
      <c r="H278" s="1"/>
    </row>
    <row r="279" spans="7:8">
      <c r="G279" s="1"/>
      <c r="H279" s="1"/>
    </row>
    <row r="280" spans="7:8">
      <c r="G280" s="1"/>
      <c r="H280" s="1"/>
    </row>
    <row r="281" spans="7:8">
      <c r="G281" s="1"/>
      <c r="H281" s="1"/>
    </row>
    <row r="282" spans="7:8">
      <c r="G282" s="1"/>
      <c r="H282" s="1"/>
    </row>
    <row r="283" spans="7:8">
      <c r="G283" s="1"/>
      <c r="H283" s="1"/>
    </row>
    <row r="284" spans="7:8">
      <c r="G284" s="1"/>
      <c r="H284" s="1"/>
    </row>
    <row r="285" spans="7:8">
      <c r="G285" s="1"/>
      <c r="H285" s="1"/>
    </row>
    <row r="286" spans="7:8">
      <c r="G286" s="1"/>
      <c r="H286" s="1"/>
    </row>
    <row r="287" spans="7:8">
      <c r="G287" s="1"/>
      <c r="H287" s="1"/>
    </row>
    <row r="288" spans="7:8">
      <c r="G288" s="1"/>
      <c r="H288" s="1"/>
    </row>
    <row r="289" spans="7:8">
      <c r="G289" s="1"/>
      <c r="H289" s="1"/>
    </row>
    <row r="290" spans="7:8">
      <c r="G290" s="1"/>
      <c r="H290" s="1"/>
    </row>
    <row r="291" spans="7:8">
      <c r="G291" s="1"/>
      <c r="H291" s="1"/>
    </row>
    <row r="292" spans="7:8">
      <c r="G292" s="1"/>
      <c r="H292" s="1"/>
    </row>
    <row r="293" spans="7:8">
      <c r="G293" s="1"/>
      <c r="H293" s="1"/>
    </row>
    <row r="294" spans="7:8">
      <c r="G294" s="1"/>
      <c r="H294" s="1"/>
    </row>
    <row r="295" spans="7:8">
      <c r="G295" s="1"/>
      <c r="H295" s="1"/>
    </row>
    <row r="296" spans="7:8">
      <c r="G296" s="1"/>
      <c r="H296" s="1"/>
    </row>
    <row r="297" spans="7:8">
      <c r="G297" s="1"/>
      <c r="H297" s="1"/>
    </row>
    <row r="298" spans="7:8">
      <c r="G298" s="1"/>
      <c r="H298" s="1"/>
    </row>
    <row r="299" spans="7:8">
      <c r="G299" s="1"/>
      <c r="H299" s="1"/>
    </row>
    <row r="300" spans="7:8">
      <c r="G300" s="1"/>
      <c r="H300" s="1"/>
    </row>
    <row r="301" spans="7:8">
      <c r="G301" s="1"/>
      <c r="H301" s="1"/>
    </row>
    <row r="302" spans="7:8">
      <c r="G302" s="1"/>
      <c r="H302" s="1"/>
    </row>
    <row r="303" spans="7:8">
      <c r="G303" s="1"/>
      <c r="H303" s="1"/>
    </row>
    <row r="304" spans="7:8">
      <c r="G304" s="1"/>
      <c r="H304" s="1"/>
    </row>
    <row r="305" spans="7:8">
      <c r="G305" s="1"/>
      <c r="H305" s="1"/>
    </row>
    <row r="306" spans="7:8">
      <c r="G306" s="1"/>
      <c r="H306" s="1"/>
    </row>
    <row r="307" spans="7:8">
      <c r="G307" s="1"/>
      <c r="H307" s="1"/>
    </row>
    <row r="308" spans="7:8">
      <c r="G308" s="1"/>
      <c r="H308" s="1"/>
    </row>
    <row r="309" spans="7:8">
      <c r="G309" s="1"/>
      <c r="H309" s="1"/>
    </row>
    <row r="310" spans="7:8">
      <c r="G310" s="1"/>
      <c r="H310" s="1"/>
    </row>
    <row r="311" spans="7:8">
      <c r="G311" s="1"/>
      <c r="H311" s="1"/>
    </row>
    <row r="312" spans="7:8">
      <c r="G312" s="1"/>
      <c r="H312" s="1"/>
    </row>
    <row r="313" spans="7:8">
      <c r="G313" s="1"/>
      <c r="H313" s="1"/>
    </row>
  </sheetData>
  <mergeCells count="3">
    <mergeCell ref="I3:M62"/>
    <mergeCell ref="A63:M65"/>
    <mergeCell ref="D66:G91"/>
  </mergeCells>
  <dataValidations count="6">
    <dataValidation allowBlank="1" showInputMessage="1" showErrorMessage="1" promptTitle="注意，此处是初步标签" prompt="注意，此处是初步标签" sqref="G1 H21 G213:H213 G227:H227 G235:H235 G236 G237:H237 G247:H247 H259 G264:H264 G271:H271 G279:H279 G301:H301 G305:H305 G3:G212 G214:G226 G228:G234 G238:G246 G248:G251 G253:G258 G260:G263 G265:G270 G272:G278 G287:G300 G302:G304 G306:G311 G314:G1048576"/>
    <dataValidation allowBlank="1" showInputMessage="1" showErrorMessage="1" promptTitle="注意，这个是研判后标签" prompt="注意，这个是研判后标签" sqref="H1 H236 H281 H3:H20 H22:H37 H39:H42 H44:H62 H92:H212 H214:H226 H228:H234 H238:H246 H248:H258 H260:H263 H265:H270 H272:H278 H287:H300 H302:H304 H306:H311 H314:H1048576"/>
    <dataValidation type="list" allowBlank="1" showInputMessage="1" showErrorMessage="1" sqref="B3:B1048576">
      <formula1>"user,worker,tech,gov"</formula1>
    </dataValidation>
    <dataValidation type="list" allowBlank="1" showInputMessage="1" showErrorMessage="1" sqref="C3:C1048576">
      <formula1>"P.R. China,United States,European Union,Kenya"</formula1>
    </dataValidation>
    <dataValidation type="list" allowBlank="1" showInputMessage="1" showErrorMessage="1" sqref="D3:D62 D86:E1048576">
      <formula1>"DeepSeek Reasoner V3.2,OpenAI ChatGPT 5.4 Pro,Google Gemini 3.1 Pro Preview,Doubao Seed 2.0 Pro"</formula1>
    </dataValidation>
    <dataValidation type="list" allowBlank="1" showInputMessage="1" showErrorMessage="1" sqref="M3:M1048576">
      <formula1>"1(4/4),0.75(3/4),0.6(2/4+votepass),0.4(2/4+votedenied),0.25(1/4)"</formula1>
    </dataValidation>
  </dataValidations>
  <pageMargins left="0.75" right="0.75" top="1" bottom="1" header="0.5" footer="0.5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1"/>
  <sheetViews>
    <sheetView topLeftCell="D1" workbookViewId="0">
      <pane ySplit="2" topLeftCell="A3" activePane="bottomLeft" state="frozen"/>
      <selection/>
      <selection pane="bottomLeft" activeCell="H74" sqref="G3:H74"/>
    </sheetView>
  </sheetViews>
  <sheetFormatPr defaultColWidth="8.61261261261261" defaultRowHeight="14.1"/>
  <cols>
    <col min="1" max="1" width="20.7117117117117" customWidth="1"/>
    <col min="2" max="2" width="11.7027027027027" customWidth="1"/>
    <col min="3" max="3" width="19.5495495495495" customWidth="1"/>
    <col min="4" max="4" width="25.1621621621622" customWidth="1"/>
    <col min="5" max="5" width="9.46846846846847" customWidth="1"/>
    <col min="6" max="6" width="12.8558558558559" customWidth="1"/>
    <col min="7" max="7" width="30.4144144144144" customWidth="1"/>
    <col min="8" max="8" width="34.0810810810811" customWidth="1"/>
    <col min="9" max="9" width="11.7027027027027" customWidth="1"/>
    <col min="10" max="10" width="13.9369369369369" customWidth="1"/>
    <col min="11" max="11" width="11.7027027027027" customWidth="1"/>
    <col min="12" max="12" width="20.7117117117117" customWidth="1"/>
    <col min="13" max="13" width="17.3243243243243" customWidth="1"/>
  </cols>
  <sheetData>
    <row r="1" spans="1:13">
      <c r="A1" s="3" t="s">
        <v>6</v>
      </c>
      <c r="B1" s="3" t="s">
        <v>266</v>
      </c>
      <c r="C1" s="3" t="s">
        <v>267</v>
      </c>
      <c r="D1" s="3" t="s">
        <v>268</v>
      </c>
      <c r="E1" s="3" t="s">
        <v>497</v>
      </c>
      <c r="F1" s="3" t="s">
        <v>269</v>
      </c>
      <c r="G1" s="3" t="s">
        <v>270</v>
      </c>
      <c r="H1" s="3" t="s">
        <v>271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</row>
    <row r="2" spans="1:13">
      <c r="A2" s="3" t="s">
        <v>272</v>
      </c>
      <c r="B2" s="3" t="s">
        <v>272</v>
      </c>
      <c r="C2" s="3" t="s">
        <v>272</v>
      </c>
      <c r="D2" s="3" t="s">
        <v>272</v>
      </c>
      <c r="E2" s="3"/>
      <c r="F2" s="3" t="str">
        <f t="shared" ref="F2:F62" si="0">IF(OR(D2="Doubao Seed 2.0 Pro",D2="DeepSeek Reasoner V3.2"),"China","US")</f>
        <v>US</v>
      </c>
      <c r="G2" s="3" t="s">
        <v>272</v>
      </c>
      <c r="H2" s="3" t="s">
        <v>272</v>
      </c>
      <c r="I2" s="3" t="s">
        <v>272</v>
      </c>
      <c r="J2" s="3">
        <f ca="1">RANDBETWEEN(10000,99999)</f>
        <v>22086</v>
      </c>
      <c r="K2" s="3" t="str">
        <f ca="1">IF(MOD(J2,2)=0,"China-backup","US-backup")</f>
        <v>China-backup</v>
      </c>
      <c r="L2" s="3" t="s">
        <v>272</v>
      </c>
      <c r="M2" s="3" t="s">
        <v>272</v>
      </c>
    </row>
    <row r="3" spans="1:13">
      <c r="A3" s="3" t="str">
        <f t="shared" ref="A3:A62" si="1">C3&amp;"-"&amp;B3</f>
        <v>European Union-tech</v>
      </c>
      <c r="B3" s="3" t="s">
        <v>61</v>
      </c>
      <c r="C3" s="3" t="s">
        <v>265</v>
      </c>
      <c r="D3" s="3" t="s">
        <v>273</v>
      </c>
      <c r="E3" s="3" cm="1">
        <f t="array" ref="E3">_xlfn.IFS(D3="Doubao Seed 2.0 Pro",1,D3="Deepseek Reasoner V3.2",2,D3="Google Gemini 3.1 Pro Preview",3,D3="OpenAI ChatGPT 5.4 Pro",4)</f>
        <v>1</v>
      </c>
      <c r="F3" s="3" t="str">
        <f t="shared" si="0"/>
        <v>China</v>
      </c>
      <c r="G3" s="3" t="s">
        <v>498</v>
      </c>
      <c r="H3" s="3" t="s">
        <v>100</v>
      </c>
      <c r="I3" s="4" t="s">
        <v>197</v>
      </c>
      <c r="J3" s="4"/>
      <c r="K3" s="4"/>
      <c r="L3" s="4"/>
      <c r="M3" s="4"/>
    </row>
    <row r="4" spans="1:13">
      <c r="A4" s="3" t="str">
        <f t="shared" si="1"/>
        <v>European Union-tech</v>
      </c>
      <c r="B4" s="3" t="s">
        <v>61</v>
      </c>
      <c r="C4" s="3" t="s">
        <v>265</v>
      </c>
      <c r="D4" s="3" t="s">
        <v>273</v>
      </c>
      <c r="E4" s="3" cm="1">
        <f t="array" ref="E4">_xlfn.IFS(D4="Doubao Seed 2.0 Pro",1,D4="Deepseek Reasoner V3.2",2,D4="Google Gemini 3.1 Pro Preview",3,D4="OpenAI ChatGPT 5.4 Pro",4)</f>
        <v>1</v>
      </c>
      <c r="F4" s="3" t="str">
        <f t="shared" si="0"/>
        <v>China</v>
      </c>
      <c r="G4" s="3" t="s">
        <v>325</v>
      </c>
      <c r="H4" s="3" t="s">
        <v>122</v>
      </c>
      <c r="I4" s="4"/>
      <c r="J4" s="4"/>
      <c r="K4" s="4"/>
      <c r="L4" s="4"/>
      <c r="M4" s="4"/>
    </row>
    <row r="5" spans="1:13">
      <c r="A5" s="3" t="str">
        <f t="shared" si="1"/>
        <v>European Union-tech</v>
      </c>
      <c r="B5" s="3" t="s">
        <v>61</v>
      </c>
      <c r="C5" s="3" t="s">
        <v>265</v>
      </c>
      <c r="D5" s="3" t="s">
        <v>273</v>
      </c>
      <c r="E5" s="3" cm="1">
        <f t="array" ref="E5">_xlfn.IFS(D5="Doubao Seed 2.0 Pro",1,D5="Deepseek Reasoner V3.2",2,D5="Google Gemini 3.1 Pro Preview",3,D5="OpenAI ChatGPT 5.4 Pro",4)</f>
        <v>1</v>
      </c>
      <c r="F5" s="3" t="str">
        <f t="shared" si="0"/>
        <v>China</v>
      </c>
      <c r="G5" s="3" t="s">
        <v>477</v>
      </c>
      <c r="H5" s="3" t="s">
        <v>71</v>
      </c>
      <c r="I5" s="4"/>
      <c r="J5" s="4"/>
      <c r="K5" s="4"/>
      <c r="L5" s="4"/>
      <c r="M5" s="4"/>
    </row>
    <row r="6" spans="1:13">
      <c r="A6" s="3" t="str">
        <f t="shared" si="1"/>
        <v>European Union-tech</v>
      </c>
      <c r="B6" s="3" t="s">
        <v>61</v>
      </c>
      <c r="C6" s="3" t="s">
        <v>265</v>
      </c>
      <c r="D6" s="3" t="s">
        <v>273</v>
      </c>
      <c r="E6" s="3" cm="1">
        <f t="array" ref="E6">_xlfn.IFS(D6="Doubao Seed 2.0 Pro",1,D6="Deepseek Reasoner V3.2",2,D6="Google Gemini 3.1 Pro Preview",3,D6="OpenAI ChatGPT 5.4 Pro",4)</f>
        <v>1</v>
      </c>
      <c r="F6" s="3" t="str">
        <f t="shared" si="0"/>
        <v>China</v>
      </c>
      <c r="G6" s="3" t="s">
        <v>353</v>
      </c>
      <c r="H6" s="3" t="s">
        <v>125</v>
      </c>
      <c r="I6" s="4"/>
      <c r="J6" s="4"/>
      <c r="K6" s="4"/>
      <c r="L6" s="4"/>
      <c r="M6" s="4"/>
    </row>
    <row r="7" spans="1:13">
      <c r="A7" s="3" t="str">
        <f t="shared" si="1"/>
        <v>European Union-tech</v>
      </c>
      <c r="B7" s="3" t="s">
        <v>61</v>
      </c>
      <c r="C7" s="3" t="s">
        <v>265</v>
      </c>
      <c r="D7" s="3" t="s">
        <v>273</v>
      </c>
      <c r="E7" s="3" cm="1">
        <f t="array" ref="E7">_xlfn.IFS(D7="Doubao Seed 2.0 Pro",1,D7="Deepseek Reasoner V3.2",2,D7="Google Gemini 3.1 Pro Preview",3,D7="OpenAI ChatGPT 5.4 Pro",4)</f>
        <v>1</v>
      </c>
      <c r="F7" s="3" t="str">
        <f t="shared" si="0"/>
        <v>China</v>
      </c>
      <c r="G7" s="3" t="s">
        <v>351</v>
      </c>
      <c r="H7" s="3" t="s">
        <v>108</v>
      </c>
      <c r="I7" s="4"/>
      <c r="J7" s="4"/>
      <c r="K7" s="4"/>
      <c r="L7" s="4"/>
      <c r="M7" s="4"/>
    </row>
    <row r="8" spans="1:13">
      <c r="A8" s="3" t="str">
        <f t="shared" si="1"/>
        <v>European Union-tech</v>
      </c>
      <c r="B8" s="3" t="s">
        <v>61</v>
      </c>
      <c r="C8" s="3" t="s">
        <v>265</v>
      </c>
      <c r="D8" s="3" t="s">
        <v>273</v>
      </c>
      <c r="E8" s="3" cm="1">
        <f t="array" ref="E8">_xlfn.IFS(D8="Doubao Seed 2.0 Pro",1,D8="Deepseek Reasoner V3.2",2,D8="Google Gemini 3.1 Pro Preview",3,D8="OpenAI ChatGPT 5.4 Pro",4)</f>
        <v>1</v>
      </c>
      <c r="F8" s="3" t="str">
        <f t="shared" si="0"/>
        <v>China</v>
      </c>
      <c r="G8" s="3" t="s">
        <v>364</v>
      </c>
      <c r="H8" s="3" t="s">
        <v>113</v>
      </c>
      <c r="I8" s="4"/>
      <c r="J8" s="4"/>
      <c r="K8" s="4"/>
      <c r="L8" s="4"/>
      <c r="M8" s="4"/>
    </row>
    <row r="9" spans="1:13">
      <c r="A9" s="3" t="str">
        <f t="shared" si="1"/>
        <v>European Union-tech</v>
      </c>
      <c r="B9" s="3" t="s">
        <v>61</v>
      </c>
      <c r="C9" s="3" t="s">
        <v>265</v>
      </c>
      <c r="D9" s="3" t="s">
        <v>273</v>
      </c>
      <c r="E9" s="3" cm="1">
        <f t="array" ref="E9">_xlfn.IFS(D9="Doubao Seed 2.0 Pro",1,D9="Deepseek Reasoner V3.2",2,D9="Google Gemini 3.1 Pro Preview",3,D9="OpenAI ChatGPT 5.4 Pro",4)</f>
        <v>1</v>
      </c>
      <c r="F9" s="3" t="str">
        <f t="shared" si="0"/>
        <v>China</v>
      </c>
      <c r="G9" s="3" t="s">
        <v>285</v>
      </c>
      <c r="H9" s="3" t="s">
        <v>113</v>
      </c>
      <c r="I9" s="4"/>
      <c r="J9" s="4"/>
      <c r="K9" s="4"/>
      <c r="L9" s="4"/>
      <c r="M9" s="4"/>
    </row>
    <row r="10" spans="1:13">
      <c r="A10" s="3" t="str">
        <f t="shared" si="1"/>
        <v>European Union-tech</v>
      </c>
      <c r="B10" s="3" t="s">
        <v>61</v>
      </c>
      <c r="C10" s="3" t="s">
        <v>265</v>
      </c>
      <c r="D10" s="3" t="s">
        <v>273</v>
      </c>
      <c r="E10" s="3" cm="1">
        <f t="array" ref="E10">_xlfn.IFS(D10="Doubao Seed 2.0 Pro",1,D10="Deepseek Reasoner V3.2",2,D10="Google Gemini 3.1 Pro Preview",3,D10="OpenAI ChatGPT 5.4 Pro",4)</f>
        <v>1</v>
      </c>
      <c r="F10" s="3" t="str">
        <f t="shared" si="0"/>
        <v>China</v>
      </c>
      <c r="G10" s="3" t="s">
        <v>130</v>
      </c>
      <c r="H10" s="3" t="s">
        <v>130</v>
      </c>
      <c r="I10" s="4"/>
      <c r="J10" s="4"/>
      <c r="K10" s="4"/>
      <c r="L10" s="4"/>
      <c r="M10" s="4"/>
    </row>
    <row r="11" spans="1:13">
      <c r="A11" s="3" t="str">
        <f t="shared" si="1"/>
        <v>European Union-tech</v>
      </c>
      <c r="B11" s="3" t="s">
        <v>61</v>
      </c>
      <c r="C11" s="3" t="s">
        <v>265</v>
      </c>
      <c r="D11" s="3" t="s">
        <v>273</v>
      </c>
      <c r="E11" s="3" cm="1">
        <f t="array" ref="E11">_xlfn.IFS(D11="Doubao Seed 2.0 Pro",1,D11="Deepseek Reasoner V3.2",2,D11="Google Gemini 3.1 Pro Preview",3,D11="OpenAI ChatGPT 5.4 Pro",4)</f>
        <v>1</v>
      </c>
      <c r="F11" s="3" t="str">
        <f t="shared" si="0"/>
        <v>China</v>
      </c>
      <c r="G11" s="3" t="s">
        <v>503</v>
      </c>
      <c r="H11" s="3" t="s">
        <v>98</v>
      </c>
      <c r="I11" s="4"/>
      <c r="J11" s="4"/>
      <c r="K11" s="4"/>
      <c r="L11" s="4"/>
      <c r="M11" s="4"/>
    </row>
    <row r="12" spans="1:13">
      <c r="A12" s="3" t="str">
        <f t="shared" si="1"/>
        <v>European Union-tech</v>
      </c>
      <c r="B12" s="3" t="s">
        <v>61</v>
      </c>
      <c r="C12" s="3" t="s">
        <v>265</v>
      </c>
      <c r="D12" s="3" t="s">
        <v>273</v>
      </c>
      <c r="E12" s="3" cm="1">
        <f t="array" ref="E12">_xlfn.IFS(D12="Doubao Seed 2.0 Pro",1,D12="Deepseek Reasoner V3.2",2,D12="Google Gemini 3.1 Pro Preview",3,D12="OpenAI ChatGPT 5.4 Pro",4)</f>
        <v>1</v>
      </c>
      <c r="F12" s="3" t="str">
        <f t="shared" si="0"/>
        <v>China</v>
      </c>
      <c r="G12" s="3" t="s">
        <v>445</v>
      </c>
      <c r="H12" s="3" t="s">
        <v>106</v>
      </c>
      <c r="I12" s="4"/>
      <c r="J12" s="4"/>
      <c r="K12" s="4"/>
      <c r="L12" s="4"/>
      <c r="M12" s="4"/>
    </row>
    <row r="13" spans="1:13">
      <c r="A13" s="3" t="str">
        <f t="shared" si="1"/>
        <v>European Union-tech</v>
      </c>
      <c r="B13" s="3" t="s">
        <v>61</v>
      </c>
      <c r="C13" s="3" t="s">
        <v>265</v>
      </c>
      <c r="D13" s="3" t="s">
        <v>273</v>
      </c>
      <c r="E13" s="3" cm="1">
        <f t="array" ref="E13">_xlfn.IFS(D13="Doubao Seed 2.0 Pro",1,D13="Deepseek Reasoner V3.2",2,D13="Google Gemini 3.1 Pro Preview",3,D13="OpenAI ChatGPT 5.4 Pro",4)</f>
        <v>1</v>
      </c>
      <c r="F13" s="3" t="str">
        <f t="shared" si="0"/>
        <v>China</v>
      </c>
      <c r="G13" s="3" t="s">
        <v>286</v>
      </c>
      <c r="H13" s="3" t="s">
        <v>124</v>
      </c>
      <c r="I13" s="4"/>
      <c r="J13" s="4"/>
      <c r="K13" s="4"/>
      <c r="L13" s="4"/>
      <c r="M13" s="4"/>
    </row>
    <row r="14" spans="1:13">
      <c r="A14" s="3" t="str">
        <f t="shared" si="1"/>
        <v>European Union-tech</v>
      </c>
      <c r="B14" s="3" t="s">
        <v>61</v>
      </c>
      <c r="C14" s="3" t="s">
        <v>265</v>
      </c>
      <c r="D14" s="3" t="s">
        <v>273</v>
      </c>
      <c r="E14" s="3" cm="1">
        <f t="array" ref="E14">_xlfn.IFS(D14="Doubao Seed 2.0 Pro",1,D14="Deepseek Reasoner V3.2",2,D14="Google Gemini 3.1 Pro Preview",3,D14="OpenAI ChatGPT 5.4 Pro",4)</f>
        <v>1</v>
      </c>
      <c r="F14" s="3" t="str">
        <f t="shared" si="0"/>
        <v>China</v>
      </c>
      <c r="G14" s="3" t="s">
        <v>361</v>
      </c>
      <c r="H14" s="3" t="s">
        <v>113</v>
      </c>
      <c r="I14" s="4"/>
      <c r="J14" s="4"/>
      <c r="K14" s="4"/>
      <c r="L14" s="4"/>
      <c r="M14" s="4"/>
    </row>
    <row r="15" spans="1:13">
      <c r="A15" s="3" t="str">
        <f t="shared" si="1"/>
        <v>European Union-tech</v>
      </c>
      <c r="B15" s="3" t="s">
        <v>61</v>
      </c>
      <c r="C15" s="3" t="s">
        <v>265</v>
      </c>
      <c r="D15" s="3" t="s">
        <v>273</v>
      </c>
      <c r="E15" s="3" cm="1">
        <f t="array" ref="E15">_xlfn.IFS(D15="Doubao Seed 2.0 Pro",1,D15="Deepseek Reasoner V3.2",2,D15="Google Gemini 3.1 Pro Preview",3,D15="OpenAI ChatGPT 5.4 Pro",4)</f>
        <v>1</v>
      </c>
      <c r="F15" s="3" t="str">
        <f t="shared" si="0"/>
        <v>China</v>
      </c>
      <c r="G15" s="3" t="s">
        <v>492</v>
      </c>
      <c r="H15" s="3" t="s">
        <v>105</v>
      </c>
      <c r="I15" s="4"/>
      <c r="J15" s="4"/>
      <c r="K15" s="4"/>
      <c r="L15" s="4"/>
      <c r="M15" s="4"/>
    </row>
    <row r="16" spans="1:13">
      <c r="A16" s="3" t="str">
        <f t="shared" si="1"/>
        <v>European Union-tech</v>
      </c>
      <c r="B16" s="3" t="s">
        <v>61</v>
      </c>
      <c r="C16" s="3" t="s">
        <v>265</v>
      </c>
      <c r="D16" s="3" t="s">
        <v>273</v>
      </c>
      <c r="E16" s="3" cm="1">
        <f t="array" ref="E16">_xlfn.IFS(D16="Doubao Seed 2.0 Pro",1,D16="Deepseek Reasoner V3.2",2,D16="Google Gemini 3.1 Pro Preview",3,D16="OpenAI ChatGPT 5.4 Pro",4)</f>
        <v>1</v>
      </c>
      <c r="F16" s="3" t="str">
        <f t="shared" si="0"/>
        <v>China</v>
      </c>
      <c r="G16" s="3" t="s">
        <v>400</v>
      </c>
      <c r="H16" s="3" t="s">
        <v>95</v>
      </c>
      <c r="I16" s="4"/>
      <c r="J16" s="4"/>
      <c r="K16" s="4"/>
      <c r="L16" s="4"/>
      <c r="M16" s="4"/>
    </row>
    <row r="17" spans="1:13">
      <c r="A17" s="3" t="str">
        <f t="shared" si="1"/>
        <v>European Union-tech</v>
      </c>
      <c r="B17" s="3" t="s">
        <v>61</v>
      </c>
      <c r="C17" s="3" t="s">
        <v>265</v>
      </c>
      <c r="D17" s="3" t="s">
        <v>273</v>
      </c>
      <c r="E17" s="3" cm="1">
        <f t="array" ref="E17">_xlfn.IFS(D17="Doubao Seed 2.0 Pro",1,D17="Deepseek Reasoner V3.2",2,D17="Google Gemini 3.1 Pro Preview",3,D17="OpenAI ChatGPT 5.4 Pro",4)</f>
        <v>1</v>
      </c>
      <c r="F17" s="3" t="str">
        <f t="shared" si="0"/>
        <v>China</v>
      </c>
      <c r="G17" s="3" t="s">
        <v>95</v>
      </c>
      <c r="H17" s="3" t="s">
        <v>95</v>
      </c>
      <c r="I17" s="4"/>
      <c r="J17" s="4"/>
      <c r="K17" s="4"/>
      <c r="L17" s="4"/>
      <c r="M17" s="4"/>
    </row>
    <row r="18" spans="1:13">
      <c r="A18" s="3" t="str">
        <f t="shared" si="1"/>
        <v>European Union-tech</v>
      </c>
      <c r="B18" s="3" t="s">
        <v>61</v>
      </c>
      <c r="C18" s="3" t="s">
        <v>265</v>
      </c>
      <c r="D18" s="3" t="s">
        <v>273</v>
      </c>
      <c r="E18" s="3" cm="1">
        <f t="array" ref="E18">_xlfn.IFS(D18="Doubao Seed 2.0 Pro",1,D18="Deepseek Reasoner V3.2",2,D18="Google Gemini 3.1 Pro Preview",3,D18="OpenAI ChatGPT 5.4 Pro",4)</f>
        <v>1</v>
      </c>
      <c r="F18" s="3" t="str">
        <f t="shared" si="0"/>
        <v>China</v>
      </c>
      <c r="G18" s="3" t="s">
        <v>363</v>
      </c>
      <c r="H18" s="3" t="s">
        <v>121</v>
      </c>
      <c r="I18" s="4"/>
      <c r="J18" s="4"/>
      <c r="K18" s="4"/>
      <c r="L18" s="4"/>
      <c r="M18" s="4"/>
    </row>
    <row r="19" spans="1:13">
      <c r="A19" s="3" t="str">
        <f t="shared" si="1"/>
        <v>European Union-tech</v>
      </c>
      <c r="B19" s="3" t="s">
        <v>61</v>
      </c>
      <c r="C19" s="3" t="s">
        <v>265</v>
      </c>
      <c r="D19" s="3" t="s">
        <v>273</v>
      </c>
      <c r="E19" s="3" cm="1">
        <f t="array" ref="E19">_xlfn.IFS(D19="Doubao Seed 2.0 Pro",1,D19="Deepseek Reasoner V3.2",2,D19="Google Gemini 3.1 Pro Preview",3,D19="OpenAI ChatGPT 5.4 Pro",4)</f>
        <v>1</v>
      </c>
      <c r="F19" s="3" t="str">
        <f t="shared" si="0"/>
        <v>China</v>
      </c>
      <c r="G19" s="3" t="s">
        <v>390</v>
      </c>
      <c r="H19" s="3" t="s">
        <v>124</v>
      </c>
      <c r="I19" s="4"/>
      <c r="J19" s="4"/>
      <c r="K19" s="4"/>
      <c r="L19" s="4"/>
      <c r="M19" s="4"/>
    </row>
    <row r="20" spans="1:13">
      <c r="A20" s="3" t="str">
        <f t="shared" si="1"/>
        <v>European Union-tech</v>
      </c>
      <c r="B20" s="3" t="s">
        <v>61</v>
      </c>
      <c r="C20" s="3" t="s">
        <v>265</v>
      </c>
      <c r="D20" s="3" t="s">
        <v>273</v>
      </c>
      <c r="E20" s="3" cm="1">
        <f t="array" ref="E20">_xlfn.IFS(D20="Doubao Seed 2.0 Pro",1,D20="Deepseek Reasoner V3.2",2,D20="Google Gemini 3.1 Pro Preview",3,D20="OpenAI ChatGPT 5.4 Pro",4)</f>
        <v>1</v>
      </c>
      <c r="F20" s="3" t="str">
        <f t="shared" si="0"/>
        <v>China</v>
      </c>
      <c r="G20" s="3" t="s">
        <v>398</v>
      </c>
      <c r="H20" s="3" t="s">
        <v>94</v>
      </c>
      <c r="I20" s="4"/>
      <c r="J20" s="4"/>
      <c r="K20" s="4"/>
      <c r="L20" s="4"/>
      <c r="M20" s="4"/>
    </row>
    <row r="21" spans="1:13">
      <c r="A21" s="3" t="str">
        <f t="shared" si="1"/>
        <v>European Union-tech</v>
      </c>
      <c r="B21" s="3" t="s">
        <v>61</v>
      </c>
      <c r="C21" s="3" t="s">
        <v>265</v>
      </c>
      <c r="D21" s="3" t="s">
        <v>297</v>
      </c>
      <c r="E21" s="3" cm="1">
        <f t="array" ref="E21">_xlfn.IFS(D21="Doubao Seed 2.0 Pro",1,D21="Deepseek Reasoner V3.2",2,D21="Google Gemini 3.1 Pro Preview",3,D21="OpenAI ChatGPT 5.4 Pro",4)</f>
        <v>2</v>
      </c>
      <c r="F21" s="3" t="str">
        <f t="shared" si="0"/>
        <v>China</v>
      </c>
      <c r="G21" s="3" t="s">
        <v>352</v>
      </c>
      <c r="H21" s="3" t="s">
        <v>100</v>
      </c>
      <c r="I21" s="4"/>
      <c r="J21" s="4"/>
      <c r="K21" s="4"/>
      <c r="L21" s="4"/>
      <c r="M21" s="4"/>
    </row>
    <row r="22" spans="1:13">
      <c r="A22" s="3" t="str">
        <f t="shared" si="1"/>
        <v>European Union-tech</v>
      </c>
      <c r="B22" s="3" t="s">
        <v>61</v>
      </c>
      <c r="C22" s="3" t="s">
        <v>265</v>
      </c>
      <c r="D22" s="3" t="s">
        <v>297</v>
      </c>
      <c r="E22" s="3" cm="1">
        <f t="array" ref="E22">_xlfn.IFS(D22="Doubao Seed 2.0 Pro",1,D22="Deepseek Reasoner V3.2",2,D22="Google Gemini 3.1 Pro Preview",3,D22="OpenAI ChatGPT 5.4 Pro",4)</f>
        <v>2</v>
      </c>
      <c r="F22" s="3" t="str">
        <f t="shared" si="0"/>
        <v>China</v>
      </c>
      <c r="G22" s="3" t="s">
        <v>498</v>
      </c>
      <c r="H22" s="3" t="s">
        <v>100</v>
      </c>
      <c r="I22" s="4"/>
      <c r="J22" s="4"/>
      <c r="K22" s="4"/>
      <c r="L22" s="4"/>
      <c r="M22" s="4"/>
    </row>
    <row r="23" spans="1:13">
      <c r="A23" s="3" t="str">
        <f t="shared" si="1"/>
        <v>European Union-tech</v>
      </c>
      <c r="B23" s="3" t="s">
        <v>61</v>
      </c>
      <c r="C23" s="3" t="s">
        <v>265</v>
      </c>
      <c r="D23" s="3" t="s">
        <v>297</v>
      </c>
      <c r="E23" s="3" cm="1">
        <f t="array" ref="E23">_xlfn.IFS(D23="Doubao Seed 2.0 Pro",1,D23="Deepseek Reasoner V3.2",2,D23="Google Gemini 3.1 Pro Preview",3,D23="OpenAI ChatGPT 5.4 Pro",4)</f>
        <v>2</v>
      </c>
      <c r="F23" s="3" t="str">
        <f t="shared" si="0"/>
        <v>China</v>
      </c>
      <c r="G23" s="3" t="s">
        <v>325</v>
      </c>
      <c r="H23" s="3" t="s">
        <v>122</v>
      </c>
      <c r="I23" s="4"/>
      <c r="J23" s="4"/>
      <c r="K23" s="4"/>
      <c r="L23" s="4"/>
      <c r="M23" s="4"/>
    </row>
    <row r="24" spans="1:13">
      <c r="A24" s="3" t="str">
        <f t="shared" si="1"/>
        <v>European Union-tech</v>
      </c>
      <c r="B24" s="3" t="s">
        <v>61</v>
      </c>
      <c r="C24" s="3" t="s">
        <v>265</v>
      </c>
      <c r="D24" s="3" t="s">
        <v>297</v>
      </c>
      <c r="E24" s="3" cm="1">
        <f t="array" ref="E24">_xlfn.IFS(D24="Doubao Seed 2.0 Pro",1,D24="Deepseek Reasoner V3.2",2,D24="Google Gemini 3.1 Pro Preview",3,D24="OpenAI ChatGPT 5.4 Pro",4)</f>
        <v>2</v>
      </c>
      <c r="F24" s="3" t="str">
        <f t="shared" si="0"/>
        <v>China</v>
      </c>
      <c r="G24" s="3" t="s">
        <v>375</v>
      </c>
      <c r="H24" s="3" t="s">
        <v>221</v>
      </c>
      <c r="I24" s="4"/>
      <c r="J24" s="4"/>
      <c r="K24" s="4"/>
      <c r="L24" s="4"/>
      <c r="M24" s="4"/>
    </row>
    <row r="25" spans="1:13">
      <c r="A25" s="3" t="str">
        <f t="shared" si="1"/>
        <v>European Union-tech</v>
      </c>
      <c r="B25" s="3" t="s">
        <v>61</v>
      </c>
      <c r="C25" s="3" t="s">
        <v>265</v>
      </c>
      <c r="D25" s="3" t="s">
        <v>297</v>
      </c>
      <c r="E25" s="3" cm="1">
        <f t="array" ref="E25">_xlfn.IFS(D25="Doubao Seed 2.0 Pro",1,D25="Deepseek Reasoner V3.2",2,D25="Google Gemini 3.1 Pro Preview",3,D25="OpenAI ChatGPT 5.4 Pro",4)</f>
        <v>2</v>
      </c>
      <c r="F25" s="3" t="str">
        <f t="shared" si="0"/>
        <v>China</v>
      </c>
      <c r="G25" s="3" t="s">
        <v>321</v>
      </c>
      <c r="H25" s="3" t="s">
        <v>93</v>
      </c>
      <c r="I25" s="4"/>
      <c r="J25" s="4"/>
      <c r="K25" s="4"/>
      <c r="L25" s="4"/>
      <c r="M25" s="4"/>
    </row>
    <row r="26" spans="1:13">
      <c r="A26" s="3" t="str">
        <f t="shared" si="1"/>
        <v>European Union-tech</v>
      </c>
      <c r="B26" s="3" t="s">
        <v>61</v>
      </c>
      <c r="C26" s="3" t="s">
        <v>265</v>
      </c>
      <c r="D26" s="3" t="s">
        <v>297</v>
      </c>
      <c r="E26" s="3" cm="1">
        <f t="array" ref="E26">_xlfn.IFS(D26="Doubao Seed 2.0 Pro",1,D26="Deepseek Reasoner V3.2",2,D26="Google Gemini 3.1 Pro Preview",3,D26="OpenAI ChatGPT 5.4 Pro",4)</f>
        <v>2</v>
      </c>
      <c r="F26" s="3" t="str">
        <f t="shared" si="0"/>
        <v>China</v>
      </c>
      <c r="G26" s="3" t="s">
        <v>398</v>
      </c>
      <c r="H26" s="3" t="s">
        <v>94</v>
      </c>
      <c r="I26" s="4"/>
      <c r="J26" s="4"/>
      <c r="K26" s="4"/>
      <c r="L26" s="4"/>
      <c r="M26" s="4"/>
    </row>
    <row r="27" spans="1:13">
      <c r="A27" s="3" t="str">
        <f t="shared" si="1"/>
        <v>European Union-tech</v>
      </c>
      <c r="B27" s="3" t="s">
        <v>61</v>
      </c>
      <c r="C27" s="3" t="s">
        <v>265</v>
      </c>
      <c r="D27" s="3" t="s">
        <v>297</v>
      </c>
      <c r="E27" s="3" cm="1">
        <f t="array" ref="E27">_xlfn.IFS(D27="Doubao Seed 2.0 Pro",1,D27="Deepseek Reasoner V3.2",2,D27="Google Gemini 3.1 Pro Preview",3,D27="OpenAI ChatGPT 5.4 Pro",4)</f>
        <v>2</v>
      </c>
      <c r="F27" s="3" t="str">
        <f t="shared" si="0"/>
        <v>China</v>
      </c>
      <c r="G27" s="3" t="s">
        <v>353</v>
      </c>
      <c r="H27" s="3" t="s">
        <v>125</v>
      </c>
      <c r="I27" s="4"/>
      <c r="J27" s="4"/>
      <c r="K27" s="4"/>
      <c r="L27" s="4"/>
      <c r="M27" s="4"/>
    </row>
    <row r="28" spans="1:13">
      <c r="A28" s="3" t="str">
        <f t="shared" si="1"/>
        <v>European Union-tech</v>
      </c>
      <c r="B28" s="3" t="s">
        <v>61</v>
      </c>
      <c r="C28" s="3" t="s">
        <v>265</v>
      </c>
      <c r="D28" s="3" t="s">
        <v>297</v>
      </c>
      <c r="E28" s="3" cm="1">
        <f t="array" ref="E28">_xlfn.IFS(D28="Doubao Seed 2.0 Pro",1,D28="Deepseek Reasoner V3.2",2,D28="Google Gemini 3.1 Pro Preview",3,D28="OpenAI ChatGPT 5.4 Pro",4)</f>
        <v>2</v>
      </c>
      <c r="F28" s="3" t="str">
        <f t="shared" si="0"/>
        <v>China</v>
      </c>
      <c r="G28" s="3" t="s">
        <v>303</v>
      </c>
      <c r="H28" s="3" t="s">
        <v>125</v>
      </c>
      <c r="I28" s="4"/>
      <c r="J28" s="4"/>
      <c r="K28" s="4"/>
      <c r="L28" s="4"/>
      <c r="M28" s="4"/>
    </row>
    <row r="29" spans="1:13">
      <c r="A29" s="3" t="str">
        <f t="shared" si="1"/>
        <v>European Union-tech</v>
      </c>
      <c r="B29" s="3" t="s">
        <v>61</v>
      </c>
      <c r="C29" s="3" t="s">
        <v>265</v>
      </c>
      <c r="D29" s="3" t="s">
        <v>297</v>
      </c>
      <c r="E29" s="3" cm="1">
        <f t="array" ref="E29">_xlfn.IFS(D29="Doubao Seed 2.0 Pro",1,D29="Deepseek Reasoner V3.2",2,D29="Google Gemini 3.1 Pro Preview",3,D29="OpenAI ChatGPT 5.4 Pro",4)</f>
        <v>2</v>
      </c>
      <c r="F29" s="3" t="str">
        <f t="shared" si="0"/>
        <v>China</v>
      </c>
      <c r="G29" s="3" t="s">
        <v>285</v>
      </c>
      <c r="H29" s="3" t="s">
        <v>113</v>
      </c>
      <c r="I29" s="4"/>
      <c r="J29" s="4"/>
      <c r="K29" s="4"/>
      <c r="L29" s="4"/>
      <c r="M29" s="4"/>
    </row>
    <row r="30" spans="1:13">
      <c r="A30" s="3" t="str">
        <f t="shared" si="1"/>
        <v>European Union-tech</v>
      </c>
      <c r="B30" s="3" t="s">
        <v>61</v>
      </c>
      <c r="C30" s="3" t="s">
        <v>265</v>
      </c>
      <c r="D30" s="3" t="s">
        <v>297</v>
      </c>
      <c r="E30" s="3" cm="1">
        <f t="array" ref="E30">_xlfn.IFS(D30="Doubao Seed 2.0 Pro",1,D30="Deepseek Reasoner V3.2",2,D30="Google Gemini 3.1 Pro Preview",3,D30="OpenAI ChatGPT 5.4 Pro",4)</f>
        <v>2</v>
      </c>
      <c r="F30" s="3" t="str">
        <f t="shared" si="0"/>
        <v>China</v>
      </c>
      <c r="G30" s="3" t="s">
        <v>129</v>
      </c>
      <c r="H30" s="3" t="s">
        <v>129</v>
      </c>
      <c r="I30" s="4"/>
      <c r="J30" s="4"/>
      <c r="K30" s="4"/>
      <c r="L30" s="4"/>
      <c r="M30" s="4"/>
    </row>
    <row r="31" spans="1:13">
      <c r="A31" s="3" t="str">
        <f t="shared" si="1"/>
        <v>European Union-tech</v>
      </c>
      <c r="B31" s="3" t="s">
        <v>61</v>
      </c>
      <c r="C31" s="3" t="s">
        <v>265</v>
      </c>
      <c r="D31" s="3" t="s">
        <v>297</v>
      </c>
      <c r="E31" s="3" cm="1">
        <f t="array" ref="E31">_xlfn.IFS(D31="Doubao Seed 2.0 Pro",1,D31="Deepseek Reasoner V3.2",2,D31="Google Gemini 3.1 Pro Preview",3,D31="OpenAI ChatGPT 5.4 Pro",4)</f>
        <v>2</v>
      </c>
      <c r="F31" s="3" t="str">
        <f t="shared" si="0"/>
        <v>China</v>
      </c>
      <c r="G31" s="3" t="s">
        <v>316</v>
      </c>
      <c r="H31" s="3" t="s">
        <v>100</v>
      </c>
      <c r="I31" s="4"/>
      <c r="J31" s="4"/>
      <c r="K31" s="4"/>
      <c r="L31" s="4"/>
      <c r="M31" s="4"/>
    </row>
    <row r="32" spans="1:13">
      <c r="A32" s="3" t="str">
        <f t="shared" si="1"/>
        <v>European Union-tech</v>
      </c>
      <c r="B32" s="3" t="s">
        <v>61</v>
      </c>
      <c r="C32" s="3" t="s">
        <v>265</v>
      </c>
      <c r="D32" s="3" t="s">
        <v>297</v>
      </c>
      <c r="E32" s="3" cm="1">
        <f t="array" ref="E32">_xlfn.IFS(D32="Doubao Seed 2.0 Pro",1,D32="Deepseek Reasoner V3.2",2,D32="Google Gemini 3.1 Pro Preview",3,D32="OpenAI ChatGPT 5.4 Pro",4)</f>
        <v>2</v>
      </c>
      <c r="F32" s="3" t="str">
        <f t="shared" si="0"/>
        <v>China</v>
      </c>
      <c r="G32" s="3" t="s">
        <v>391</v>
      </c>
      <c r="H32" s="3" t="s">
        <v>113</v>
      </c>
      <c r="I32" s="4"/>
      <c r="J32" s="4"/>
      <c r="K32" s="4"/>
      <c r="L32" s="4"/>
      <c r="M32" s="4"/>
    </row>
    <row r="33" spans="1:13">
      <c r="A33" s="3" t="str">
        <f t="shared" si="1"/>
        <v>European Union-tech</v>
      </c>
      <c r="B33" s="3" t="s">
        <v>61</v>
      </c>
      <c r="C33" s="3" t="s">
        <v>265</v>
      </c>
      <c r="D33" s="3" t="s">
        <v>297</v>
      </c>
      <c r="E33" s="3" cm="1">
        <f t="array" ref="E33">_xlfn.IFS(D33="Doubao Seed 2.0 Pro",1,D33="Deepseek Reasoner V3.2",2,D33="Google Gemini 3.1 Pro Preview",3,D33="OpenAI ChatGPT 5.4 Pro",4)</f>
        <v>2</v>
      </c>
      <c r="F33" s="3" t="str">
        <f t="shared" si="0"/>
        <v>China</v>
      </c>
      <c r="G33" s="3" t="s">
        <v>376</v>
      </c>
      <c r="H33" s="3" t="s">
        <v>121</v>
      </c>
      <c r="I33" s="4"/>
      <c r="J33" s="4"/>
      <c r="K33" s="4"/>
      <c r="L33" s="4"/>
      <c r="M33" s="4"/>
    </row>
    <row r="34" spans="1:13">
      <c r="A34" s="3" t="str">
        <f t="shared" si="1"/>
        <v>European Union-tech</v>
      </c>
      <c r="B34" s="3" t="s">
        <v>61</v>
      </c>
      <c r="C34" s="3" t="s">
        <v>265</v>
      </c>
      <c r="D34" s="3" t="s">
        <v>297</v>
      </c>
      <c r="E34" s="3" cm="1">
        <f t="array" ref="E34">_xlfn.IFS(D34="Doubao Seed 2.0 Pro",1,D34="Deepseek Reasoner V3.2",2,D34="Google Gemini 3.1 Pro Preview",3,D34="OpenAI ChatGPT 5.4 Pro",4)</f>
        <v>2</v>
      </c>
      <c r="F34" s="3" t="str">
        <f t="shared" si="0"/>
        <v>China</v>
      </c>
      <c r="G34" s="3" t="s">
        <v>413</v>
      </c>
      <c r="H34" s="3" t="s">
        <v>224</v>
      </c>
      <c r="I34" s="4"/>
      <c r="J34" s="4"/>
      <c r="K34" s="4"/>
      <c r="L34" s="4"/>
      <c r="M34" s="4"/>
    </row>
    <row r="35" spans="1:13">
      <c r="A35" s="3" t="str">
        <f t="shared" si="1"/>
        <v>European Union-tech</v>
      </c>
      <c r="B35" s="3" t="s">
        <v>61</v>
      </c>
      <c r="C35" s="3" t="s">
        <v>265</v>
      </c>
      <c r="D35" s="3" t="s">
        <v>297</v>
      </c>
      <c r="E35" s="3" cm="1">
        <f t="array" ref="E35">_xlfn.IFS(D35="Doubao Seed 2.0 Pro",1,D35="Deepseek Reasoner V3.2",2,D35="Google Gemini 3.1 Pro Preview",3,D35="OpenAI ChatGPT 5.4 Pro",4)</f>
        <v>2</v>
      </c>
      <c r="F35" s="3" t="str">
        <f t="shared" si="0"/>
        <v>China</v>
      </c>
      <c r="G35" s="3" t="s">
        <v>408</v>
      </c>
      <c r="H35" s="3" t="s">
        <v>222</v>
      </c>
      <c r="I35" s="4"/>
      <c r="J35" s="4"/>
      <c r="K35" s="4"/>
      <c r="L35" s="4"/>
      <c r="M35" s="4"/>
    </row>
    <row r="36" spans="1:13">
      <c r="A36" s="3" t="str">
        <f t="shared" si="1"/>
        <v>European Union-tech</v>
      </c>
      <c r="B36" s="3" t="s">
        <v>61</v>
      </c>
      <c r="C36" s="3" t="s">
        <v>265</v>
      </c>
      <c r="D36" s="3" t="s">
        <v>297</v>
      </c>
      <c r="E36" s="3" cm="1">
        <f t="array" ref="E36">_xlfn.IFS(D36="Doubao Seed 2.0 Pro",1,D36="Deepseek Reasoner V3.2",2,D36="Google Gemini 3.1 Pro Preview",3,D36="OpenAI ChatGPT 5.4 Pro",4)</f>
        <v>2</v>
      </c>
      <c r="F36" s="3" t="str">
        <f t="shared" si="0"/>
        <v>China</v>
      </c>
      <c r="G36" s="3" t="s">
        <v>130</v>
      </c>
      <c r="H36" s="3" t="s">
        <v>130</v>
      </c>
      <c r="I36" s="4"/>
      <c r="J36" s="4"/>
      <c r="K36" s="4"/>
      <c r="L36" s="4"/>
      <c r="M36" s="4"/>
    </row>
    <row r="37" spans="1:13">
      <c r="A37" s="3" t="str">
        <f t="shared" si="1"/>
        <v>European Union-tech</v>
      </c>
      <c r="B37" s="3" t="s">
        <v>61</v>
      </c>
      <c r="C37" s="3" t="s">
        <v>265</v>
      </c>
      <c r="D37" s="3" t="s">
        <v>297</v>
      </c>
      <c r="E37" s="3" cm="1">
        <f t="array" ref="E37">_xlfn.IFS(D37="Doubao Seed 2.0 Pro",1,D37="Deepseek Reasoner V3.2",2,D37="Google Gemini 3.1 Pro Preview",3,D37="OpenAI ChatGPT 5.4 Pro",4)</f>
        <v>2</v>
      </c>
      <c r="F37" s="3" t="str">
        <f t="shared" si="0"/>
        <v>China</v>
      </c>
      <c r="G37" s="3" t="s">
        <v>351</v>
      </c>
      <c r="H37" s="3" t="s">
        <v>108</v>
      </c>
      <c r="I37" s="4"/>
      <c r="J37" s="4"/>
      <c r="K37" s="4"/>
      <c r="L37" s="4"/>
      <c r="M37" s="4"/>
    </row>
    <row r="38" spans="1:13">
      <c r="A38" s="3" t="str">
        <f t="shared" si="1"/>
        <v>European Union-tech</v>
      </c>
      <c r="B38" s="3" t="s">
        <v>61</v>
      </c>
      <c r="C38" s="3" t="s">
        <v>265</v>
      </c>
      <c r="D38" s="3" t="s">
        <v>314</v>
      </c>
      <c r="E38" s="3" cm="1">
        <f t="array" ref="E38">_xlfn.IFS(D38="Doubao Seed 2.0 Pro",1,D38="Deepseek Reasoner V3.2",2,D38="Google Gemini 3.1 Pro Preview",3,D38="OpenAI ChatGPT 5.4 Pro",4)</f>
        <v>3</v>
      </c>
      <c r="F38" s="3" t="str">
        <f t="shared" si="0"/>
        <v>US</v>
      </c>
      <c r="G38" s="3" t="s">
        <v>474</v>
      </c>
      <c r="H38" t="s">
        <v>100</v>
      </c>
      <c r="I38" s="4"/>
      <c r="J38" s="4"/>
      <c r="K38" s="4"/>
      <c r="L38" s="4"/>
      <c r="M38" s="4"/>
    </row>
    <row r="39" spans="1:13">
      <c r="A39" s="3" t="str">
        <f t="shared" si="1"/>
        <v>European Union-tech</v>
      </c>
      <c r="B39" s="3" t="s">
        <v>61</v>
      </c>
      <c r="C39" s="3" t="s">
        <v>265</v>
      </c>
      <c r="D39" s="3" t="s">
        <v>314</v>
      </c>
      <c r="E39" s="3" cm="1">
        <f t="array" ref="E39">_xlfn.IFS(D39="Doubao Seed 2.0 Pro",1,D39="Deepseek Reasoner V3.2",2,D39="Google Gemini 3.1 Pro Preview",3,D39="OpenAI ChatGPT 5.4 Pro",4)</f>
        <v>3</v>
      </c>
      <c r="F39" s="3" t="str">
        <f t="shared" si="0"/>
        <v>US</v>
      </c>
      <c r="G39" s="3" t="s">
        <v>112</v>
      </c>
      <c r="H39" s="3" t="s">
        <v>112</v>
      </c>
      <c r="I39" s="4"/>
      <c r="J39" s="4"/>
      <c r="K39" s="4"/>
      <c r="L39" s="4"/>
      <c r="M39" s="4"/>
    </row>
    <row r="40" spans="1:13">
      <c r="A40" s="3" t="str">
        <f t="shared" si="1"/>
        <v>European Union-tech</v>
      </c>
      <c r="B40" s="3" t="s">
        <v>61</v>
      </c>
      <c r="C40" s="3" t="s">
        <v>265</v>
      </c>
      <c r="D40" s="3" t="s">
        <v>314</v>
      </c>
      <c r="E40" s="3" cm="1">
        <f t="array" ref="E40">_xlfn.IFS(D40="Doubao Seed 2.0 Pro",1,D40="Deepseek Reasoner V3.2",2,D40="Google Gemini 3.1 Pro Preview",3,D40="OpenAI ChatGPT 5.4 Pro",4)</f>
        <v>3</v>
      </c>
      <c r="F40" s="3" t="str">
        <f t="shared" si="0"/>
        <v>US</v>
      </c>
      <c r="G40" s="3" t="s">
        <v>325</v>
      </c>
      <c r="H40" s="3" t="s">
        <v>122</v>
      </c>
      <c r="I40" s="4"/>
      <c r="J40" s="4"/>
      <c r="K40" s="4"/>
      <c r="L40" s="4"/>
      <c r="M40" s="4"/>
    </row>
    <row r="41" spans="1:13">
      <c r="A41" s="3" t="str">
        <f t="shared" si="1"/>
        <v>European Union-tech</v>
      </c>
      <c r="B41" s="3" t="s">
        <v>61</v>
      </c>
      <c r="C41" s="3" t="s">
        <v>265</v>
      </c>
      <c r="D41" s="3" t="s">
        <v>314</v>
      </c>
      <c r="E41" s="3" cm="1">
        <f t="array" ref="E41">_xlfn.IFS(D41="Doubao Seed 2.0 Pro",1,D41="Deepseek Reasoner V3.2",2,D41="Google Gemini 3.1 Pro Preview",3,D41="OpenAI ChatGPT 5.4 Pro",4)</f>
        <v>3</v>
      </c>
      <c r="F41" s="3" t="str">
        <f t="shared" si="0"/>
        <v>US</v>
      </c>
      <c r="G41" s="3" t="s">
        <v>303</v>
      </c>
      <c r="H41" s="3" t="s">
        <v>125</v>
      </c>
      <c r="I41" s="4"/>
      <c r="J41" s="4"/>
      <c r="K41" s="4"/>
      <c r="L41" s="4"/>
      <c r="M41" s="4"/>
    </row>
    <row r="42" spans="1:13">
      <c r="A42" s="3" t="str">
        <f t="shared" si="1"/>
        <v>European Union-tech</v>
      </c>
      <c r="B42" s="3" t="s">
        <v>61</v>
      </c>
      <c r="C42" s="3" t="s">
        <v>265</v>
      </c>
      <c r="D42" s="3" t="s">
        <v>314</v>
      </c>
      <c r="E42" s="3" cm="1">
        <f t="array" ref="E42">_xlfn.IFS(D42="Doubao Seed 2.0 Pro",1,D42="Deepseek Reasoner V3.2",2,D42="Google Gemini 3.1 Pro Preview",3,D42="OpenAI ChatGPT 5.4 Pro",4)</f>
        <v>3</v>
      </c>
      <c r="F42" s="3" t="str">
        <f t="shared" si="0"/>
        <v>US</v>
      </c>
      <c r="G42" s="3" t="s">
        <v>316</v>
      </c>
      <c r="H42" s="3" t="s">
        <v>100</v>
      </c>
      <c r="I42" s="4"/>
      <c r="J42" s="4"/>
      <c r="K42" s="4"/>
      <c r="L42" s="4"/>
      <c r="M42" s="4"/>
    </row>
    <row r="43" spans="1:13">
      <c r="A43" s="3" t="str">
        <f t="shared" si="1"/>
        <v>European Union-tech</v>
      </c>
      <c r="B43" s="3" t="s">
        <v>61</v>
      </c>
      <c r="C43" s="3" t="s">
        <v>265</v>
      </c>
      <c r="D43" s="3" t="s">
        <v>314</v>
      </c>
      <c r="E43" s="3" cm="1">
        <f t="array" ref="E43">_xlfn.IFS(D43="Doubao Seed 2.0 Pro",1,D43="Deepseek Reasoner V3.2",2,D43="Google Gemini 3.1 Pro Preview",3,D43="OpenAI ChatGPT 5.4 Pro",4)</f>
        <v>3</v>
      </c>
      <c r="F43" s="3" t="str">
        <f t="shared" si="0"/>
        <v>US</v>
      </c>
      <c r="G43" s="1" t="s">
        <v>376</v>
      </c>
      <c r="H43" s="3" t="s">
        <v>121</v>
      </c>
      <c r="I43" s="4"/>
      <c r="J43" s="4"/>
      <c r="K43" s="4"/>
      <c r="L43" s="4"/>
      <c r="M43" s="4"/>
    </row>
    <row r="44" spans="1:13">
      <c r="A44" s="3" t="str">
        <f t="shared" si="1"/>
        <v>European Union-tech</v>
      </c>
      <c r="B44" s="3" t="s">
        <v>61</v>
      </c>
      <c r="C44" s="3" t="s">
        <v>265</v>
      </c>
      <c r="D44" s="3" t="s">
        <v>314</v>
      </c>
      <c r="E44" s="3" cm="1">
        <f t="array" ref="E44">_xlfn.IFS(D44="Doubao Seed 2.0 Pro",1,D44="Deepseek Reasoner V3.2",2,D44="Google Gemini 3.1 Pro Preview",3,D44="OpenAI ChatGPT 5.4 Pro",4)</f>
        <v>3</v>
      </c>
      <c r="F44" s="3" t="str">
        <f t="shared" si="0"/>
        <v>US</v>
      </c>
      <c r="G44" s="3" t="s">
        <v>504</v>
      </c>
      <c r="H44" s="3" t="s">
        <v>113</v>
      </c>
      <c r="I44" s="4"/>
      <c r="J44" s="4"/>
      <c r="K44" s="4"/>
      <c r="L44" s="4"/>
      <c r="M44" s="4"/>
    </row>
    <row r="45" spans="1:13">
      <c r="A45" s="3" t="str">
        <f t="shared" si="1"/>
        <v>European Union-tech</v>
      </c>
      <c r="B45" s="3" t="s">
        <v>61</v>
      </c>
      <c r="C45" s="3" t="s">
        <v>265</v>
      </c>
      <c r="D45" s="3" t="s">
        <v>314</v>
      </c>
      <c r="E45" s="3" cm="1">
        <f t="array" ref="E45">_xlfn.IFS(D45="Doubao Seed 2.0 Pro",1,D45="Deepseek Reasoner V3.2",2,D45="Google Gemini 3.1 Pro Preview",3,D45="OpenAI ChatGPT 5.4 Pro",4)</f>
        <v>3</v>
      </c>
      <c r="F45" s="3" t="str">
        <f t="shared" si="0"/>
        <v>US</v>
      </c>
      <c r="G45" s="3" t="s">
        <v>359</v>
      </c>
      <c r="H45" s="3" t="s">
        <v>92</v>
      </c>
      <c r="I45" s="4"/>
      <c r="J45" s="4"/>
      <c r="K45" s="4"/>
      <c r="L45" s="4"/>
      <c r="M45" s="4"/>
    </row>
    <row r="46" spans="1:13">
      <c r="A46" s="3" t="str">
        <f t="shared" si="1"/>
        <v>European Union-tech</v>
      </c>
      <c r="B46" s="3" t="s">
        <v>61</v>
      </c>
      <c r="C46" s="3" t="s">
        <v>265</v>
      </c>
      <c r="D46" s="3" t="s">
        <v>314</v>
      </c>
      <c r="E46" s="3" cm="1">
        <f t="array" ref="E46">_xlfn.IFS(D46="Doubao Seed 2.0 Pro",1,D46="Deepseek Reasoner V3.2",2,D46="Google Gemini 3.1 Pro Preview",3,D46="OpenAI ChatGPT 5.4 Pro",4)</f>
        <v>3</v>
      </c>
      <c r="F46" s="3" t="str">
        <f t="shared" si="0"/>
        <v>US</v>
      </c>
      <c r="G46" s="3" t="s">
        <v>130</v>
      </c>
      <c r="H46" s="3" t="s">
        <v>130</v>
      </c>
      <c r="I46" s="4"/>
      <c r="J46" s="4"/>
      <c r="K46" s="4"/>
      <c r="L46" s="4"/>
      <c r="M46" s="4"/>
    </row>
    <row r="47" spans="1:13">
      <c r="A47" s="3" t="str">
        <f t="shared" si="1"/>
        <v>European Union-tech</v>
      </c>
      <c r="B47" s="3" t="s">
        <v>61</v>
      </c>
      <c r="C47" s="3" t="s">
        <v>265</v>
      </c>
      <c r="D47" s="3" t="s">
        <v>314</v>
      </c>
      <c r="E47" s="3" cm="1">
        <f t="array" ref="E47">_xlfn.IFS(D47="Doubao Seed 2.0 Pro",1,D47="Deepseek Reasoner V3.2",2,D47="Google Gemini 3.1 Pro Preview",3,D47="OpenAI ChatGPT 5.4 Pro",4)</f>
        <v>3</v>
      </c>
      <c r="F47" s="3" t="str">
        <f t="shared" si="0"/>
        <v>US</v>
      </c>
      <c r="G47" s="3" t="s">
        <v>477</v>
      </c>
      <c r="H47" s="3" t="s">
        <v>71</v>
      </c>
      <c r="I47" s="4"/>
      <c r="J47" s="4"/>
      <c r="K47" s="4"/>
      <c r="L47" s="4"/>
      <c r="M47" s="4"/>
    </row>
    <row r="48" spans="1:13">
      <c r="A48" s="3" t="str">
        <f t="shared" si="1"/>
        <v>European Union-tech</v>
      </c>
      <c r="B48" s="3" t="s">
        <v>61</v>
      </c>
      <c r="C48" s="3" t="s">
        <v>265</v>
      </c>
      <c r="D48" s="3" t="s">
        <v>314</v>
      </c>
      <c r="E48" s="3" cm="1">
        <f t="array" ref="E48">_xlfn.IFS(D48="Doubao Seed 2.0 Pro",1,D48="Deepseek Reasoner V3.2",2,D48="Google Gemini 3.1 Pro Preview",3,D48="OpenAI ChatGPT 5.4 Pro",4)</f>
        <v>3</v>
      </c>
      <c r="F48" s="3" t="str">
        <f t="shared" si="0"/>
        <v>US</v>
      </c>
      <c r="G48" s="3" t="s">
        <v>374</v>
      </c>
      <c r="H48" s="3" t="s">
        <v>204</v>
      </c>
      <c r="I48" s="4"/>
      <c r="J48" s="4"/>
      <c r="K48" s="4"/>
      <c r="L48" s="4"/>
      <c r="M48" s="4"/>
    </row>
    <row r="49" spans="1:13">
      <c r="A49" s="3" t="str">
        <f t="shared" si="1"/>
        <v>European Union-tech</v>
      </c>
      <c r="B49" s="3" t="s">
        <v>61</v>
      </c>
      <c r="C49" s="3" t="s">
        <v>265</v>
      </c>
      <c r="D49" s="3" t="s">
        <v>314</v>
      </c>
      <c r="E49" s="3" cm="1">
        <f t="array" ref="E49">_xlfn.IFS(D49="Doubao Seed 2.0 Pro",1,D49="Deepseek Reasoner V3.2",2,D49="Google Gemini 3.1 Pro Preview",3,D49="OpenAI ChatGPT 5.4 Pro",4)</f>
        <v>3</v>
      </c>
      <c r="F49" s="3" t="str">
        <f t="shared" si="0"/>
        <v>US</v>
      </c>
      <c r="G49" s="3" t="s">
        <v>372</v>
      </c>
      <c r="H49" s="3" t="s">
        <v>131</v>
      </c>
      <c r="I49" s="4"/>
      <c r="J49" s="4"/>
      <c r="K49" s="4"/>
      <c r="L49" s="4"/>
      <c r="M49" s="4"/>
    </row>
    <row r="50" spans="1:13">
      <c r="A50" s="3" t="str">
        <f t="shared" si="1"/>
        <v>European Union-tech</v>
      </c>
      <c r="B50" s="3" t="s">
        <v>61</v>
      </c>
      <c r="C50" s="3" t="s">
        <v>265</v>
      </c>
      <c r="D50" s="3" t="s">
        <v>329</v>
      </c>
      <c r="E50" s="3" cm="1">
        <f t="array" ref="E50">_xlfn.IFS(D50="Doubao Seed 2.0 Pro",1,D50="Deepseek Reasoner V3.2",2,D50="Google Gemini 3.1 Pro Preview",3,D50="OpenAI ChatGPT 5.4 Pro",4)</f>
        <v>4</v>
      </c>
      <c r="F50" s="3" t="str">
        <f t="shared" si="0"/>
        <v>US</v>
      </c>
      <c r="G50" s="3" t="s">
        <v>498</v>
      </c>
      <c r="H50" s="3" t="s">
        <v>100</v>
      </c>
      <c r="I50" s="4"/>
      <c r="J50" s="4"/>
      <c r="K50" s="4"/>
      <c r="L50" s="4"/>
      <c r="M50" s="4"/>
    </row>
    <row r="51" spans="1:13">
      <c r="A51" s="3" t="str">
        <f t="shared" ref="A51:A74" si="2">C51&amp;"-"&amp;B51</f>
        <v>European Union-tech</v>
      </c>
      <c r="B51" s="3" t="s">
        <v>61</v>
      </c>
      <c r="C51" s="3" t="s">
        <v>265</v>
      </c>
      <c r="D51" s="3" t="s">
        <v>329</v>
      </c>
      <c r="E51" s="3" cm="1">
        <f t="array" ref="E51">_xlfn.IFS(D51="Doubao Seed 2.0 Pro",1,D51="Deepseek Reasoner V3.2",2,D51="Google Gemini 3.1 Pro Preview",3,D51="OpenAI ChatGPT 5.4 Pro",4)</f>
        <v>4</v>
      </c>
      <c r="F51" s="3" t="str">
        <f t="shared" ref="F51:F60" si="3">IF(OR(D51="Doubao Seed 2.0 Pro",D51="DeepSeek Reasoner V3.2"),"China","US")</f>
        <v>US</v>
      </c>
      <c r="G51" s="3" t="s">
        <v>392</v>
      </c>
      <c r="H51" s="3" t="s">
        <v>113</v>
      </c>
      <c r="I51" s="4"/>
      <c r="J51" s="4"/>
      <c r="K51" s="4"/>
      <c r="L51" s="4"/>
      <c r="M51" s="4"/>
    </row>
    <row r="52" spans="1:13">
      <c r="A52" s="3" t="str">
        <f t="shared" si="2"/>
        <v>European Union-tech</v>
      </c>
      <c r="B52" s="3" t="s">
        <v>61</v>
      </c>
      <c r="C52" s="3" t="s">
        <v>265</v>
      </c>
      <c r="D52" s="3" t="s">
        <v>329</v>
      </c>
      <c r="E52" s="3" cm="1">
        <f t="array" ref="E52">_xlfn.IFS(D52="Doubao Seed 2.0 Pro",1,D52="Deepseek Reasoner V3.2",2,D52="Google Gemini 3.1 Pro Preview",3,D52="OpenAI ChatGPT 5.4 Pro",4)</f>
        <v>4</v>
      </c>
      <c r="F52" s="3" t="str">
        <f t="shared" si="3"/>
        <v>US</v>
      </c>
      <c r="G52" s="3" t="s">
        <v>325</v>
      </c>
      <c r="H52" s="3" t="s">
        <v>122</v>
      </c>
      <c r="I52" s="4"/>
      <c r="J52" s="4"/>
      <c r="K52" s="4"/>
      <c r="L52" s="4"/>
      <c r="M52" s="4"/>
    </row>
    <row r="53" spans="1:13">
      <c r="A53" s="3" t="str">
        <f t="shared" si="2"/>
        <v>European Union-tech</v>
      </c>
      <c r="B53" s="3" t="s">
        <v>61</v>
      </c>
      <c r="C53" s="3" t="s">
        <v>265</v>
      </c>
      <c r="D53" s="3" t="s">
        <v>329</v>
      </c>
      <c r="E53" s="3" cm="1">
        <f t="array" ref="E53">_xlfn.IFS(D53="Doubao Seed 2.0 Pro",1,D53="Deepseek Reasoner V3.2",2,D53="Google Gemini 3.1 Pro Preview",3,D53="OpenAI ChatGPT 5.4 Pro",4)</f>
        <v>4</v>
      </c>
      <c r="F53" s="3" t="str">
        <f t="shared" si="3"/>
        <v>US</v>
      </c>
      <c r="G53" s="3" t="s">
        <v>303</v>
      </c>
      <c r="H53" s="3" t="s">
        <v>125</v>
      </c>
      <c r="I53" s="4"/>
      <c r="J53" s="4"/>
      <c r="K53" s="4"/>
      <c r="L53" s="4"/>
      <c r="M53" s="4"/>
    </row>
    <row r="54" spans="1:13">
      <c r="A54" s="3" t="str">
        <f t="shared" si="2"/>
        <v>European Union-tech</v>
      </c>
      <c r="B54" s="3" t="s">
        <v>61</v>
      </c>
      <c r="C54" s="3" t="s">
        <v>265</v>
      </c>
      <c r="D54" s="3" t="s">
        <v>329</v>
      </c>
      <c r="E54" s="3" cm="1">
        <f t="array" ref="E54">_xlfn.IFS(D54="Doubao Seed 2.0 Pro",1,D54="Deepseek Reasoner V3.2",2,D54="Google Gemini 3.1 Pro Preview",3,D54="OpenAI ChatGPT 5.4 Pro",4)</f>
        <v>4</v>
      </c>
      <c r="F54" s="3" t="str">
        <f t="shared" si="3"/>
        <v>US</v>
      </c>
      <c r="G54" s="3" t="s">
        <v>397</v>
      </c>
      <c r="H54" s="3" t="s">
        <v>58</v>
      </c>
      <c r="I54" s="4"/>
      <c r="J54" s="4"/>
      <c r="K54" s="4"/>
      <c r="L54" s="4"/>
      <c r="M54" s="4"/>
    </row>
    <row r="55" spans="1:13">
      <c r="A55" s="3" t="str">
        <f t="shared" si="2"/>
        <v>European Union-tech</v>
      </c>
      <c r="B55" s="3" t="s">
        <v>61</v>
      </c>
      <c r="C55" s="3" t="s">
        <v>265</v>
      </c>
      <c r="D55" s="3" t="s">
        <v>329</v>
      </c>
      <c r="E55" s="3" cm="1">
        <f t="array" ref="E55">_xlfn.IFS(D55="Doubao Seed 2.0 Pro",1,D55="Deepseek Reasoner V3.2",2,D55="Google Gemini 3.1 Pro Preview",3,D55="OpenAI ChatGPT 5.4 Pro",4)</f>
        <v>4</v>
      </c>
      <c r="F55" s="3" t="str">
        <f t="shared" si="3"/>
        <v>US</v>
      </c>
      <c r="G55" s="3" t="s">
        <v>130</v>
      </c>
      <c r="H55" s="3" t="s">
        <v>130</v>
      </c>
      <c r="I55" s="4"/>
      <c r="J55" s="4"/>
      <c r="K55" s="4"/>
      <c r="L55" s="4"/>
      <c r="M55" s="4"/>
    </row>
    <row r="56" spans="1:13">
      <c r="A56" s="3" t="str">
        <f t="shared" si="2"/>
        <v>European Union-tech</v>
      </c>
      <c r="B56" s="3" t="s">
        <v>61</v>
      </c>
      <c r="C56" s="3" t="s">
        <v>265</v>
      </c>
      <c r="D56" s="3" t="s">
        <v>329</v>
      </c>
      <c r="E56" s="3" cm="1">
        <f t="array" ref="E56">_xlfn.IFS(D56="Doubao Seed 2.0 Pro",1,D56="Deepseek Reasoner V3.2",2,D56="Google Gemini 3.1 Pro Preview",3,D56="OpenAI ChatGPT 5.4 Pro",4)</f>
        <v>4</v>
      </c>
      <c r="F56" s="3" t="str">
        <f t="shared" si="3"/>
        <v>US</v>
      </c>
      <c r="G56" s="3" t="s">
        <v>359</v>
      </c>
      <c r="H56" s="3" t="s">
        <v>92</v>
      </c>
      <c r="I56" s="4"/>
      <c r="J56" s="4"/>
      <c r="K56" s="4"/>
      <c r="L56" s="4"/>
      <c r="M56" s="4"/>
    </row>
    <row r="57" spans="1:13">
      <c r="A57" s="3" t="str">
        <f t="shared" si="2"/>
        <v>European Union-tech</v>
      </c>
      <c r="B57" s="3" t="s">
        <v>61</v>
      </c>
      <c r="C57" s="3" t="s">
        <v>265</v>
      </c>
      <c r="D57" s="3" t="s">
        <v>329</v>
      </c>
      <c r="E57" s="3" cm="1">
        <f t="array" ref="E57">_xlfn.IFS(D57="Doubao Seed 2.0 Pro",1,D57="Deepseek Reasoner V3.2",2,D57="Google Gemini 3.1 Pro Preview",3,D57="OpenAI ChatGPT 5.4 Pro",4)</f>
        <v>4</v>
      </c>
      <c r="F57" s="3" t="str">
        <f t="shared" si="3"/>
        <v>US</v>
      </c>
      <c r="G57" s="3" t="s">
        <v>361</v>
      </c>
      <c r="H57" s="3" t="s">
        <v>113</v>
      </c>
      <c r="I57" s="4"/>
      <c r="J57" s="4"/>
      <c r="K57" s="4"/>
      <c r="L57" s="4"/>
      <c r="M57" s="4"/>
    </row>
    <row r="58" spans="1:13">
      <c r="A58" s="3" t="str">
        <f t="shared" si="2"/>
        <v>European Union-tech</v>
      </c>
      <c r="B58" s="3" t="s">
        <v>61</v>
      </c>
      <c r="C58" s="3" t="s">
        <v>265</v>
      </c>
      <c r="D58" s="3" t="s">
        <v>329</v>
      </c>
      <c r="E58" s="3" cm="1">
        <f t="array" ref="E58">_xlfn.IFS(D58="Doubao Seed 2.0 Pro",1,D58="Deepseek Reasoner V3.2",2,D58="Google Gemini 3.1 Pro Preview",3,D58="OpenAI ChatGPT 5.4 Pro",4)</f>
        <v>4</v>
      </c>
      <c r="F58" s="3" t="str">
        <f t="shared" si="3"/>
        <v>US</v>
      </c>
      <c r="G58" s="3" t="s">
        <v>387</v>
      </c>
      <c r="H58" s="3" t="s">
        <v>100</v>
      </c>
      <c r="I58" s="4"/>
      <c r="J58" s="4"/>
      <c r="K58" s="4"/>
      <c r="L58" s="4"/>
      <c r="M58" s="4"/>
    </row>
    <row r="59" spans="1:13">
      <c r="A59" s="3" t="str">
        <f t="shared" si="2"/>
        <v>European Union-tech</v>
      </c>
      <c r="B59" s="3" t="s">
        <v>61</v>
      </c>
      <c r="C59" s="3" t="s">
        <v>265</v>
      </c>
      <c r="D59" s="3" t="s">
        <v>329</v>
      </c>
      <c r="E59" s="3" cm="1">
        <f t="array" ref="E59">_xlfn.IFS(D59="Doubao Seed 2.0 Pro",1,D59="Deepseek Reasoner V3.2",2,D59="Google Gemini 3.1 Pro Preview",3,D59="OpenAI ChatGPT 5.4 Pro",4)</f>
        <v>4</v>
      </c>
      <c r="F59" s="3" t="str">
        <f t="shared" si="3"/>
        <v>US</v>
      </c>
      <c r="G59" s="3" t="s">
        <v>411</v>
      </c>
      <c r="H59" s="3" t="s">
        <v>92</v>
      </c>
      <c r="I59" s="4"/>
      <c r="J59" s="4"/>
      <c r="K59" s="4"/>
      <c r="L59" s="4"/>
      <c r="M59" s="4"/>
    </row>
    <row r="60" spans="1:13">
      <c r="A60" s="3" t="str">
        <f t="shared" si="2"/>
        <v>European Union-tech</v>
      </c>
      <c r="B60" s="3" t="s">
        <v>61</v>
      </c>
      <c r="C60" s="3" t="s">
        <v>265</v>
      </c>
      <c r="D60" s="3" t="s">
        <v>329</v>
      </c>
      <c r="E60" s="3" cm="1">
        <f t="array" ref="E60">_xlfn.IFS(D60="Doubao Seed 2.0 Pro",1,D60="Deepseek Reasoner V3.2",2,D60="Google Gemini 3.1 Pro Preview",3,D60="OpenAI ChatGPT 5.4 Pro",4)</f>
        <v>4</v>
      </c>
      <c r="F60" s="3" t="str">
        <f t="shared" ref="F60:F74" si="4">IF(OR(D60="Doubao Seed 2.0 Pro",D60="DeepSeek Reasoner V3.2"),"China","US")</f>
        <v>US</v>
      </c>
      <c r="G60" s="3" t="s">
        <v>398</v>
      </c>
      <c r="H60" s="3" t="s">
        <v>94</v>
      </c>
      <c r="I60" s="4"/>
      <c r="J60" s="4"/>
      <c r="K60" s="4"/>
      <c r="L60" s="4"/>
      <c r="M60" s="4"/>
    </row>
    <row r="61" spans="1:13">
      <c r="A61" s="3" t="str">
        <f t="shared" si="2"/>
        <v>European Union-tech</v>
      </c>
      <c r="B61" s="3" t="s">
        <v>61</v>
      </c>
      <c r="C61" s="3" t="s">
        <v>265</v>
      </c>
      <c r="D61" s="3" t="s">
        <v>329</v>
      </c>
      <c r="E61" s="3" cm="1">
        <f t="array" ref="E61">_xlfn.IFS(D61="Doubao Seed 2.0 Pro",1,D61="Deepseek Reasoner V3.2",2,D61="Google Gemini 3.1 Pro Preview",3,D61="OpenAI ChatGPT 5.4 Pro",4)</f>
        <v>4</v>
      </c>
      <c r="F61" s="3" t="str">
        <f t="shared" si="4"/>
        <v>US</v>
      </c>
      <c r="G61" s="3" t="s">
        <v>278</v>
      </c>
      <c r="H61" s="3" t="s">
        <v>80</v>
      </c>
      <c r="I61" s="4"/>
      <c r="J61" s="4"/>
      <c r="K61" s="4"/>
      <c r="L61" s="4"/>
      <c r="M61" s="4"/>
    </row>
    <row r="62" spans="1:13">
      <c r="A62" s="3" t="str">
        <f t="shared" si="2"/>
        <v>European Union-tech</v>
      </c>
      <c r="B62" s="3" t="s">
        <v>61</v>
      </c>
      <c r="C62" s="3" t="s">
        <v>265</v>
      </c>
      <c r="D62" s="3" t="s">
        <v>329</v>
      </c>
      <c r="E62" s="3" cm="1">
        <f t="array" ref="E62">_xlfn.IFS(D62="Doubao Seed 2.0 Pro",1,D62="Deepseek Reasoner V3.2",2,D62="Google Gemini 3.1 Pro Preview",3,D62="OpenAI ChatGPT 5.4 Pro",4)</f>
        <v>4</v>
      </c>
      <c r="F62" s="3" t="str">
        <f t="shared" si="4"/>
        <v>US</v>
      </c>
      <c r="G62" s="3" t="s">
        <v>376</v>
      </c>
      <c r="H62" s="3" t="s">
        <v>121</v>
      </c>
      <c r="I62" s="4"/>
      <c r="J62" s="4"/>
      <c r="K62" s="4"/>
      <c r="L62" s="4"/>
      <c r="M62" s="4"/>
    </row>
    <row r="63" spans="1:13">
      <c r="A63" s="3" t="str">
        <f t="shared" si="2"/>
        <v>European Union-tech</v>
      </c>
      <c r="B63" s="3" t="s">
        <v>61</v>
      </c>
      <c r="C63" s="3" t="s">
        <v>265</v>
      </c>
      <c r="D63" s="3" t="s">
        <v>329</v>
      </c>
      <c r="E63" s="3" cm="1">
        <f t="array" ref="E63">_xlfn.IFS(D63="Doubao Seed 2.0 Pro",1,D63="Deepseek Reasoner V3.2",2,D63="Google Gemini 3.1 Pro Preview",3,D63="OpenAI ChatGPT 5.4 Pro",4)</f>
        <v>4</v>
      </c>
      <c r="F63" s="3" t="str">
        <f t="shared" si="4"/>
        <v>US</v>
      </c>
      <c r="G63" s="3" t="s">
        <v>121</v>
      </c>
      <c r="H63" s="3" t="s">
        <v>121</v>
      </c>
      <c r="I63" s="4"/>
      <c r="J63" s="4"/>
      <c r="K63" s="4"/>
      <c r="L63" s="4"/>
      <c r="M63" s="4"/>
    </row>
    <row r="64" spans="1:13">
      <c r="A64" s="3" t="str">
        <f t="shared" si="2"/>
        <v>European Union-tech</v>
      </c>
      <c r="B64" s="3" t="s">
        <v>61</v>
      </c>
      <c r="C64" s="3" t="s">
        <v>265</v>
      </c>
      <c r="D64" s="3" t="s">
        <v>329</v>
      </c>
      <c r="E64" s="3" cm="1">
        <f t="array" ref="E64">_xlfn.IFS(D64="Doubao Seed 2.0 Pro",1,D64="Deepseek Reasoner V3.2",2,D64="Google Gemini 3.1 Pro Preview",3,D64="OpenAI ChatGPT 5.4 Pro",4)</f>
        <v>4</v>
      </c>
      <c r="F64" s="3" t="str">
        <f t="shared" si="4"/>
        <v>US</v>
      </c>
      <c r="G64" s="3" t="s">
        <v>400</v>
      </c>
      <c r="H64" s="3" t="s">
        <v>95</v>
      </c>
      <c r="I64" s="4"/>
      <c r="J64" s="4"/>
      <c r="K64" s="4"/>
      <c r="L64" s="4"/>
      <c r="M64" s="4"/>
    </row>
    <row r="65" spans="1:13">
      <c r="A65" s="3" t="str">
        <f t="shared" si="2"/>
        <v>European Union-tech</v>
      </c>
      <c r="B65" s="3" t="s">
        <v>61</v>
      </c>
      <c r="C65" s="3" t="s">
        <v>265</v>
      </c>
      <c r="D65" s="3" t="s">
        <v>329</v>
      </c>
      <c r="E65" s="3" cm="1">
        <f t="array" ref="E65">_xlfn.IFS(D65="Doubao Seed 2.0 Pro",1,D65="Deepseek Reasoner V3.2",2,D65="Google Gemini 3.1 Pro Preview",3,D65="OpenAI ChatGPT 5.4 Pro",4)</f>
        <v>4</v>
      </c>
      <c r="F65" s="3" t="str">
        <f t="shared" si="4"/>
        <v>US</v>
      </c>
      <c r="G65" s="3" t="s">
        <v>390</v>
      </c>
      <c r="H65" s="3" t="s">
        <v>124</v>
      </c>
      <c r="I65" s="4"/>
      <c r="J65" s="4"/>
      <c r="K65" s="4"/>
      <c r="L65" s="4"/>
      <c r="M65" s="4"/>
    </row>
    <row r="66" spans="1:13">
      <c r="A66" s="3" t="str">
        <f t="shared" si="2"/>
        <v>European Union-tech</v>
      </c>
      <c r="B66" s="3" t="s">
        <v>61</v>
      </c>
      <c r="C66" s="3" t="s">
        <v>265</v>
      </c>
      <c r="D66" s="3" t="s">
        <v>329</v>
      </c>
      <c r="E66" s="3" cm="1">
        <f t="array" ref="E66">_xlfn.IFS(D66="Doubao Seed 2.0 Pro",1,D66="Deepseek Reasoner V3.2",2,D66="Google Gemini 3.1 Pro Preview",3,D66="OpenAI ChatGPT 5.4 Pro",4)</f>
        <v>4</v>
      </c>
      <c r="F66" s="3" t="str">
        <f t="shared" si="4"/>
        <v>US</v>
      </c>
      <c r="G66" s="3" t="s">
        <v>316</v>
      </c>
      <c r="H66" s="3" t="s">
        <v>100</v>
      </c>
      <c r="I66" s="4"/>
      <c r="J66" s="4"/>
      <c r="K66" s="4"/>
      <c r="L66" s="4"/>
      <c r="M66" s="4"/>
    </row>
    <row r="67" spans="1:13">
      <c r="A67" s="3" t="str">
        <f t="shared" si="2"/>
        <v>European Union-tech</v>
      </c>
      <c r="B67" s="3" t="s">
        <v>61</v>
      </c>
      <c r="C67" s="3" t="s">
        <v>265</v>
      </c>
      <c r="D67" s="3" t="s">
        <v>329</v>
      </c>
      <c r="E67" s="3" cm="1">
        <f t="array" ref="E67">_xlfn.IFS(D67="Doubao Seed 2.0 Pro",1,D67="Deepseek Reasoner V3.2",2,D67="Google Gemini 3.1 Pro Preview",3,D67="OpenAI ChatGPT 5.4 Pro",4)</f>
        <v>4</v>
      </c>
      <c r="F67" s="3" t="str">
        <f t="shared" si="4"/>
        <v>US</v>
      </c>
      <c r="G67" s="3" t="s">
        <v>352</v>
      </c>
      <c r="H67" s="3" t="s">
        <v>100</v>
      </c>
      <c r="I67" s="4"/>
      <c r="J67" s="4"/>
      <c r="K67" s="4"/>
      <c r="L67" s="4"/>
      <c r="M67" s="4"/>
    </row>
    <row r="68" spans="1:13">
      <c r="A68" s="3" t="str">
        <f t="shared" si="2"/>
        <v>European Union-tech</v>
      </c>
      <c r="B68" s="3" t="s">
        <v>61</v>
      </c>
      <c r="C68" s="3" t="s">
        <v>265</v>
      </c>
      <c r="D68" s="3" t="s">
        <v>329</v>
      </c>
      <c r="E68" s="3" cm="1">
        <f t="array" ref="E68">_xlfn.IFS(D68="Doubao Seed 2.0 Pro",1,D68="Deepseek Reasoner V3.2",2,D68="Google Gemini 3.1 Pro Preview",3,D68="OpenAI ChatGPT 5.4 Pro",4)</f>
        <v>4</v>
      </c>
      <c r="F68" s="3" t="str">
        <f t="shared" si="4"/>
        <v>US</v>
      </c>
      <c r="G68" s="3" t="s">
        <v>415</v>
      </c>
      <c r="H68" s="3" t="s">
        <v>117</v>
      </c>
      <c r="I68" s="4"/>
      <c r="J68" s="4"/>
      <c r="K68" s="4"/>
      <c r="L68" s="4"/>
      <c r="M68" s="4"/>
    </row>
    <row r="69" spans="1:13">
      <c r="A69" s="3" t="str">
        <f t="shared" si="2"/>
        <v>European Union-tech</v>
      </c>
      <c r="B69" s="3" t="s">
        <v>61</v>
      </c>
      <c r="C69" s="3" t="s">
        <v>265</v>
      </c>
      <c r="D69" s="3" t="s">
        <v>329</v>
      </c>
      <c r="E69" s="3" cm="1">
        <f t="array" ref="E69">_xlfn.IFS(D69="Doubao Seed 2.0 Pro",1,D69="Deepseek Reasoner V3.2",2,D69="Google Gemini 3.1 Pro Preview",3,D69="OpenAI ChatGPT 5.4 Pro",4)</f>
        <v>4</v>
      </c>
      <c r="F69" s="3" t="str">
        <f t="shared" si="4"/>
        <v>US</v>
      </c>
      <c r="G69" s="3" t="s">
        <v>364</v>
      </c>
      <c r="H69" s="3" t="s">
        <v>113</v>
      </c>
      <c r="I69" s="4"/>
      <c r="J69" s="4"/>
      <c r="K69" s="4"/>
      <c r="L69" s="4"/>
      <c r="M69" s="4"/>
    </row>
    <row r="70" spans="1:13">
      <c r="A70" s="3" t="str">
        <f t="shared" si="2"/>
        <v>European Union-tech</v>
      </c>
      <c r="B70" s="3" t="s">
        <v>61</v>
      </c>
      <c r="C70" s="3" t="s">
        <v>265</v>
      </c>
      <c r="D70" s="3" t="s">
        <v>329</v>
      </c>
      <c r="E70" s="3" cm="1">
        <f t="array" ref="E70">_xlfn.IFS(D70="Doubao Seed 2.0 Pro",1,D70="Deepseek Reasoner V3.2",2,D70="Google Gemini 3.1 Pro Preview",3,D70="OpenAI ChatGPT 5.4 Pro",4)</f>
        <v>4</v>
      </c>
      <c r="F70" s="3" t="str">
        <f t="shared" si="4"/>
        <v>US</v>
      </c>
      <c r="G70" s="3" t="s">
        <v>505</v>
      </c>
      <c r="H70" s="3" t="s">
        <v>116</v>
      </c>
      <c r="I70" s="4"/>
      <c r="J70" s="4"/>
      <c r="K70" s="4"/>
      <c r="L70" s="4"/>
      <c r="M70" s="4"/>
    </row>
    <row r="71" spans="1:13">
      <c r="A71" s="3" t="str">
        <f t="shared" si="2"/>
        <v>European Union-tech</v>
      </c>
      <c r="B71" s="3" t="s">
        <v>61</v>
      </c>
      <c r="C71" s="3" t="s">
        <v>265</v>
      </c>
      <c r="D71" s="3" t="s">
        <v>329</v>
      </c>
      <c r="E71" s="3" cm="1">
        <f t="array" ref="E71">_xlfn.IFS(D71="Doubao Seed 2.0 Pro",1,D71="Deepseek Reasoner V3.2",2,D71="Google Gemini 3.1 Pro Preview",3,D71="OpenAI ChatGPT 5.4 Pro",4)</f>
        <v>4</v>
      </c>
      <c r="F71" s="3" t="str">
        <f t="shared" si="4"/>
        <v>US</v>
      </c>
      <c r="G71" s="3" t="s">
        <v>469</v>
      </c>
      <c r="H71" s="3" t="s">
        <v>236</v>
      </c>
      <c r="I71" s="4"/>
      <c r="J71" s="4"/>
      <c r="K71" s="4"/>
      <c r="L71" s="4"/>
      <c r="M71" s="4"/>
    </row>
    <row r="72" spans="1:13">
      <c r="A72" s="3" t="str">
        <f t="shared" si="2"/>
        <v>European Union-tech</v>
      </c>
      <c r="B72" s="3" t="s">
        <v>61</v>
      </c>
      <c r="C72" s="3" t="s">
        <v>265</v>
      </c>
      <c r="D72" s="3" t="s">
        <v>329</v>
      </c>
      <c r="E72" s="3" cm="1">
        <f t="array" ref="E72">_xlfn.IFS(D72="Doubao Seed 2.0 Pro",1,D72="Deepseek Reasoner V3.2",2,D72="Google Gemini 3.1 Pro Preview",3,D72="OpenAI ChatGPT 5.4 Pro",4)</f>
        <v>4</v>
      </c>
      <c r="F72" s="3" t="str">
        <f t="shared" si="4"/>
        <v>US</v>
      </c>
      <c r="G72" s="3" t="s">
        <v>351</v>
      </c>
      <c r="H72" s="3" t="s">
        <v>108</v>
      </c>
      <c r="I72" s="4"/>
      <c r="J72" s="4"/>
      <c r="K72" s="4"/>
      <c r="L72" s="4"/>
      <c r="M72" s="4"/>
    </row>
    <row r="73" spans="1:13">
      <c r="A73" s="3" t="str">
        <f t="shared" si="2"/>
        <v>European Union-tech</v>
      </c>
      <c r="B73" s="3" t="s">
        <v>61</v>
      </c>
      <c r="C73" s="3" t="s">
        <v>265</v>
      </c>
      <c r="D73" s="3" t="s">
        <v>329</v>
      </c>
      <c r="E73" s="3" cm="1">
        <f t="array" ref="E73">_xlfn.IFS(D73="Doubao Seed 2.0 Pro",1,D73="Deepseek Reasoner V3.2",2,D73="Google Gemini 3.1 Pro Preview",3,D73="OpenAI ChatGPT 5.4 Pro",4)</f>
        <v>4</v>
      </c>
      <c r="F73" s="3" t="str">
        <f t="shared" si="4"/>
        <v>US</v>
      </c>
      <c r="G73" s="3" t="s">
        <v>337</v>
      </c>
      <c r="H73" s="3" t="s">
        <v>211</v>
      </c>
      <c r="I73" s="4"/>
      <c r="J73" s="4"/>
      <c r="K73" s="4"/>
      <c r="L73" s="4"/>
      <c r="M73" s="4"/>
    </row>
    <row r="74" ht="14" customHeight="1" spans="1:13">
      <c r="A74" s="3" t="str">
        <f t="shared" si="2"/>
        <v>European Union-tech</v>
      </c>
      <c r="B74" s="3" t="s">
        <v>61</v>
      </c>
      <c r="C74" s="3" t="s">
        <v>265</v>
      </c>
      <c r="D74" s="3" t="s">
        <v>329</v>
      </c>
      <c r="E74" s="3" cm="1">
        <f t="array" ref="E74">_xlfn.IFS(D74="Doubao Seed 2.0 Pro",1,D74="Deepseek Reasoner V3.2",2,D74="Google Gemini 3.1 Pro Preview",3,D74="OpenAI ChatGPT 5.4 Pro",4)</f>
        <v>4</v>
      </c>
      <c r="F74" s="3" t="str">
        <f t="shared" si="4"/>
        <v>US</v>
      </c>
      <c r="G74" s="3" t="s">
        <v>503</v>
      </c>
      <c r="H74" s="3" t="s">
        <v>98</v>
      </c>
      <c r="I74" s="4"/>
      <c r="J74" s="4"/>
      <c r="K74" s="4"/>
      <c r="L74" s="4"/>
      <c r="M74" s="4"/>
    </row>
    <row r="75" spans="1:13">
      <c r="A75" s="4" t="s">
        <v>419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3" t="str">
        <f t="shared" ref="A78:A84" si="5">C78&amp;"-"&amp;B78</f>
        <v>European Union-tech</v>
      </c>
      <c r="B78" s="3" t="s">
        <v>61</v>
      </c>
      <c r="C78" s="6" t="s">
        <v>265</v>
      </c>
      <c r="D78" s="4" t="s">
        <v>197</v>
      </c>
      <c r="E78" s="4"/>
      <c r="F78" s="4"/>
      <c r="G78" s="4"/>
      <c r="H78" s="3" t="s">
        <v>211</v>
      </c>
      <c r="I78" s="8">
        <v>1</v>
      </c>
      <c r="J78" s="7"/>
      <c r="K78" s="7"/>
      <c r="L78" s="8" t="s">
        <v>199</v>
      </c>
      <c r="M78" s="8" t="s">
        <v>200</v>
      </c>
    </row>
    <row r="79" spans="1:13">
      <c r="A79" s="3" t="str">
        <f t="shared" si="5"/>
        <v>European Union-tech</v>
      </c>
      <c r="B79" s="3" t="s">
        <v>61</v>
      </c>
      <c r="C79" s="6" t="s">
        <v>265</v>
      </c>
      <c r="D79" s="4"/>
      <c r="E79" s="4"/>
      <c r="F79" s="4"/>
      <c r="G79" s="4"/>
      <c r="H79" s="3" t="s">
        <v>80</v>
      </c>
      <c r="I79" s="8">
        <v>1</v>
      </c>
      <c r="J79" s="7"/>
      <c r="K79" s="7"/>
      <c r="L79" s="8" t="s">
        <v>199</v>
      </c>
      <c r="M79" s="8" t="s">
        <v>200</v>
      </c>
    </row>
    <row r="80" spans="1:13">
      <c r="A80" s="3" t="str">
        <f t="shared" si="5"/>
        <v>European Union-tech</v>
      </c>
      <c r="B80" s="3" t="s">
        <v>61</v>
      </c>
      <c r="C80" s="6" t="s">
        <v>265</v>
      </c>
      <c r="D80" s="4"/>
      <c r="E80" s="4"/>
      <c r="F80" s="4"/>
      <c r="G80" s="4"/>
      <c r="H80" s="3" t="s">
        <v>224</v>
      </c>
      <c r="I80" s="8">
        <v>1</v>
      </c>
      <c r="J80" s="7"/>
      <c r="K80" s="7"/>
      <c r="L80" s="8" t="s">
        <v>199</v>
      </c>
      <c r="M80" s="8" t="s">
        <v>200</v>
      </c>
    </row>
    <row r="81" spans="1:13">
      <c r="A81" s="3" t="str">
        <f t="shared" si="5"/>
        <v>European Union-tech</v>
      </c>
      <c r="B81" s="3" t="s">
        <v>61</v>
      </c>
      <c r="C81" s="6" t="s">
        <v>265</v>
      </c>
      <c r="D81" s="4"/>
      <c r="E81" s="4"/>
      <c r="F81" s="4"/>
      <c r="G81" s="4"/>
      <c r="H81" s="3" t="s">
        <v>93</v>
      </c>
      <c r="I81" s="8">
        <v>1</v>
      </c>
      <c r="J81" s="8"/>
      <c r="K81" s="8"/>
      <c r="L81" s="8" t="s">
        <v>199</v>
      </c>
      <c r="M81" s="8" t="s">
        <v>200</v>
      </c>
    </row>
    <row r="82" spans="1:13">
      <c r="A82" s="3" t="str">
        <f t="shared" si="5"/>
        <v>European Union-tech</v>
      </c>
      <c r="B82" s="3" t="s">
        <v>61</v>
      </c>
      <c r="C82" s="6" t="s">
        <v>265</v>
      </c>
      <c r="D82" s="4"/>
      <c r="E82" s="4"/>
      <c r="F82" s="4"/>
      <c r="G82" s="4"/>
      <c r="H82" s="3" t="s">
        <v>105</v>
      </c>
      <c r="I82" s="8">
        <v>1</v>
      </c>
      <c r="J82" s="7"/>
      <c r="K82" s="7"/>
      <c r="L82" s="8" t="s">
        <v>199</v>
      </c>
      <c r="M82" s="8" t="s">
        <v>200</v>
      </c>
    </row>
    <row r="83" spans="1:13">
      <c r="A83" s="3" t="str">
        <f t="shared" si="5"/>
        <v>European Union-tech</v>
      </c>
      <c r="B83" s="3" t="s">
        <v>61</v>
      </c>
      <c r="C83" s="6" t="s">
        <v>265</v>
      </c>
      <c r="D83" s="4"/>
      <c r="E83" s="4"/>
      <c r="F83" s="4"/>
      <c r="G83" s="4"/>
      <c r="H83" s="3" t="s">
        <v>106</v>
      </c>
      <c r="I83" s="8">
        <v>1</v>
      </c>
      <c r="J83" s="8"/>
      <c r="K83" s="8"/>
      <c r="L83" s="8" t="s">
        <v>199</v>
      </c>
      <c r="M83" s="8" t="s">
        <v>200</v>
      </c>
    </row>
    <row r="84" spans="1:13">
      <c r="A84" s="3" t="str">
        <f t="shared" si="5"/>
        <v>European Union-tech</v>
      </c>
      <c r="B84" s="3" t="s">
        <v>61</v>
      </c>
      <c r="C84" s="6" t="s">
        <v>265</v>
      </c>
      <c r="D84" s="4"/>
      <c r="E84" s="4"/>
      <c r="F84" s="4"/>
      <c r="G84" s="4"/>
      <c r="H84" s="3" t="s">
        <v>221</v>
      </c>
      <c r="I84" s="8">
        <v>1</v>
      </c>
      <c r="J84" s="8"/>
      <c r="K84" s="8"/>
      <c r="L84" s="8" t="s">
        <v>199</v>
      </c>
      <c r="M84" s="8" t="s">
        <v>200</v>
      </c>
    </row>
    <row r="85" spans="1:13">
      <c r="A85" s="3" t="str">
        <f t="shared" ref="A85:A106" si="6">C85&amp;"-"&amp;B85</f>
        <v>European Union-tech</v>
      </c>
      <c r="B85" s="3" t="s">
        <v>61</v>
      </c>
      <c r="C85" s="6" t="s">
        <v>265</v>
      </c>
      <c r="D85" s="4"/>
      <c r="E85" s="4"/>
      <c r="F85" s="4"/>
      <c r="G85" s="4"/>
      <c r="H85" s="3" t="s">
        <v>222</v>
      </c>
      <c r="I85" s="8">
        <v>1</v>
      </c>
      <c r="J85" s="8"/>
      <c r="K85" s="8"/>
      <c r="L85" s="8" t="s">
        <v>199</v>
      </c>
      <c r="M85" s="8" t="s">
        <v>200</v>
      </c>
    </row>
    <row r="86" spans="1:13">
      <c r="A86" s="3" t="str">
        <f t="shared" si="6"/>
        <v>European Union-tech</v>
      </c>
      <c r="B86" s="3" t="s">
        <v>61</v>
      </c>
      <c r="C86" s="6" t="s">
        <v>265</v>
      </c>
      <c r="D86" s="4"/>
      <c r="E86" s="4"/>
      <c r="F86" s="4"/>
      <c r="G86" s="4"/>
      <c r="H86" s="3" t="s">
        <v>112</v>
      </c>
      <c r="I86" s="8">
        <v>1</v>
      </c>
      <c r="J86" s="8"/>
      <c r="K86" s="8"/>
      <c r="L86" s="8" t="s">
        <v>199</v>
      </c>
      <c r="M86" s="8" t="s">
        <v>200</v>
      </c>
    </row>
    <row r="87" spans="1:13">
      <c r="A87" s="3" t="str">
        <f t="shared" si="6"/>
        <v>European Union-tech</v>
      </c>
      <c r="B87" s="3" t="s">
        <v>61</v>
      </c>
      <c r="C87" s="6" t="s">
        <v>265</v>
      </c>
      <c r="D87" s="4"/>
      <c r="E87" s="4"/>
      <c r="F87" s="4"/>
      <c r="G87" s="4"/>
      <c r="H87" s="3" t="s">
        <v>116</v>
      </c>
      <c r="I87" s="8">
        <v>1</v>
      </c>
      <c r="J87" s="8"/>
      <c r="K87" s="8"/>
      <c r="L87" s="8" t="s">
        <v>199</v>
      </c>
      <c r="M87" s="8" t="s">
        <v>200</v>
      </c>
    </row>
    <row r="88" spans="1:13">
      <c r="A88" s="3" t="str">
        <f t="shared" si="6"/>
        <v>European Union-tech</v>
      </c>
      <c r="B88" s="3" t="s">
        <v>61</v>
      </c>
      <c r="C88" s="6" t="s">
        <v>265</v>
      </c>
      <c r="D88" s="4"/>
      <c r="E88" s="4"/>
      <c r="F88" s="4"/>
      <c r="G88" s="4"/>
      <c r="H88" s="3" t="s">
        <v>117</v>
      </c>
      <c r="I88" s="8">
        <v>1</v>
      </c>
      <c r="J88" s="7"/>
      <c r="K88" s="7"/>
      <c r="L88" s="8" t="s">
        <v>199</v>
      </c>
      <c r="M88" s="8" t="s">
        <v>200</v>
      </c>
    </row>
    <row r="89" spans="1:13">
      <c r="A89" s="3" t="str">
        <f t="shared" si="6"/>
        <v>European Union-tech</v>
      </c>
      <c r="B89" s="3" t="s">
        <v>61</v>
      </c>
      <c r="C89" s="6" t="s">
        <v>265</v>
      </c>
      <c r="D89" s="4"/>
      <c r="E89" s="4"/>
      <c r="F89" s="4"/>
      <c r="G89" s="4"/>
      <c r="H89" s="3" t="s">
        <v>204</v>
      </c>
      <c r="I89" s="8">
        <v>1</v>
      </c>
      <c r="J89" s="8"/>
      <c r="K89" s="8"/>
      <c r="L89" s="8" t="s">
        <v>199</v>
      </c>
      <c r="M89" s="8" t="s">
        <v>200</v>
      </c>
    </row>
    <row r="90" spans="1:13">
      <c r="A90" s="3" t="str">
        <f t="shared" si="6"/>
        <v>European Union-tech</v>
      </c>
      <c r="B90" s="3" t="s">
        <v>61</v>
      </c>
      <c r="C90" s="6" t="s">
        <v>265</v>
      </c>
      <c r="D90" s="4"/>
      <c r="E90" s="4"/>
      <c r="F90" s="4"/>
      <c r="G90" s="4"/>
      <c r="H90" s="3" t="s">
        <v>236</v>
      </c>
      <c r="I90" s="8">
        <v>1</v>
      </c>
      <c r="J90" s="7"/>
      <c r="K90" s="7"/>
      <c r="L90" s="8" t="s">
        <v>199</v>
      </c>
      <c r="M90" s="8" t="s">
        <v>200</v>
      </c>
    </row>
    <row r="91" spans="1:13">
      <c r="A91" s="3" t="str">
        <f t="shared" si="6"/>
        <v>European Union-tech</v>
      </c>
      <c r="B91" s="3" t="s">
        <v>61</v>
      </c>
      <c r="C91" s="6" t="s">
        <v>265</v>
      </c>
      <c r="D91" s="4"/>
      <c r="E91" s="4"/>
      <c r="F91" s="4"/>
      <c r="G91" s="4"/>
      <c r="H91" s="3" t="s">
        <v>129</v>
      </c>
      <c r="I91" s="8">
        <v>1</v>
      </c>
      <c r="J91" s="7"/>
      <c r="K91" s="7"/>
      <c r="L91" s="8" t="s">
        <v>199</v>
      </c>
      <c r="M91" s="8" t="s">
        <v>200</v>
      </c>
    </row>
    <row r="92" spans="1:13">
      <c r="A92" s="3" t="str">
        <f t="shared" si="6"/>
        <v>European Union-tech</v>
      </c>
      <c r="B92" s="3" t="s">
        <v>61</v>
      </c>
      <c r="C92" s="6" t="s">
        <v>265</v>
      </c>
      <c r="D92" s="4"/>
      <c r="E92" s="4"/>
      <c r="F92" s="4"/>
      <c r="G92" s="4"/>
      <c r="H92" s="3" t="s">
        <v>131</v>
      </c>
      <c r="I92" s="8">
        <v>1</v>
      </c>
      <c r="J92" s="8"/>
      <c r="K92" s="8"/>
      <c r="L92" s="8" t="s">
        <v>199</v>
      </c>
      <c r="M92" s="8" t="s">
        <v>200</v>
      </c>
    </row>
    <row r="93" spans="1:13">
      <c r="A93" s="3" t="str">
        <f t="shared" si="6"/>
        <v>European Union-tech</v>
      </c>
      <c r="B93" s="3" t="s">
        <v>61</v>
      </c>
      <c r="C93" s="6" t="s">
        <v>265</v>
      </c>
      <c r="D93" s="4"/>
      <c r="E93" s="4"/>
      <c r="F93" s="4"/>
      <c r="G93" s="4"/>
      <c r="H93" s="3" t="s">
        <v>58</v>
      </c>
      <c r="I93" s="8">
        <v>1</v>
      </c>
      <c r="J93" s="7"/>
      <c r="K93" s="7"/>
      <c r="L93" s="8" t="s">
        <v>199</v>
      </c>
      <c r="M93" s="8" t="s">
        <v>200</v>
      </c>
    </row>
    <row r="94" spans="1:13">
      <c r="A94" s="3" t="str">
        <f t="shared" si="6"/>
        <v>European Union-tech</v>
      </c>
      <c r="B94" s="3" t="s">
        <v>61</v>
      </c>
      <c r="C94" s="6" t="s">
        <v>265</v>
      </c>
      <c r="D94" s="4"/>
      <c r="E94" s="4"/>
      <c r="F94" s="4"/>
      <c r="G94" s="4"/>
      <c r="H94" s="3" t="s">
        <v>71</v>
      </c>
      <c r="I94" s="8" t="s">
        <v>217</v>
      </c>
      <c r="J94" s="7">
        <v>75768</v>
      </c>
      <c r="K94" s="7" t="s">
        <v>48</v>
      </c>
      <c r="L94" s="8"/>
      <c r="M94" s="8"/>
    </row>
    <row r="95" spans="1:13">
      <c r="A95" s="3" t="str">
        <f t="shared" si="6"/>
        <v>European Union-tech</v>
      </c>
      <c r="B95" s="3" t="s">
        <v>61</v>
      </c>
      <c r="C95" s="6" t="s">
        <v>265</v>
      </c>
      <c r="D95" s="4"/>
      <c r="E95" s="4"/>
      <c r="F95" s="4"/>
      <c r="G95" s="4"/>
      <c r="H95" s="3" t="s">
        <v>92</v>
      </c>
      <c r="I95" s="8" t="s">
        <v>217</v>
      </c>
      <c r="J95" s="8" t="s">
        <v>31</v>
      </c>
      <c r="K95" s="8" t="s">
        <v>32</v>
      </c>
      <c r="L95" s="8"/>
      <c r="M95" s="8"/>
    </row>
    <row r="96" spans="1:13">
      <c r="A96" s="3" t="str">
        <f t="shared" si="6"/>
        <v>European Union-tech</v>
      </c>
      <c r="B96" s="3" t="s">
        <v>61</v>
      </c>
      <c r="C96" s="6" t="s">
        <v>265</v>
      </c>
      <c r="D96" s="4"/>
      <c r="E96" s="4"/>
      <c r="F96" s="4"/>
      <c r="G96" s="4"/>
      <c r="H96" s="3" t="s">
        <v>98</v>
      </c>
      <c r="I96" s="8" t="s">
        <v>217</v>
      </c>
      <c r="J96" s="7">
        <v>70764</v>
      </c>
      <c r="K96" s="7" t="s">
        <v>48</v>
      </c>
      <c r="L96" s="8"/>
      <c r="M96" s="8"/>
    </row>
    <row r="97" spans="1:13">
      <c r="A97" s="3" t="str">
        <f t="shared" si="6"/>
        <v>European Union-tech</v>
      </c>
      <c r="B97" s="3" t="s">
        <v>61</v>
      </c>
      <c r="C97" s="6" t="s">
        <v>265</v>
      </c>
      <c r="D97" s="4"/>
      <c r="E97" s="4"/>
      <c r="F97" s="4"/>
      <c r="G97" s="4"/>
      <c r="H97" s="3" t="s">
        <v>108</v>
      </c>
      <c r="I97" s="8">
        <v>1</v>
      </c>
      <c r="J97" s="8"/>
      <c r="K97" s="8"/>
      <c r="L97" s="8" t="s">
        <v>24</v>
      </c>
      <c r="M97" s="8" t="s">
        <v>55</v>
      </c>
    </row>
    <row r="98" spans="1:13">
      <c r="A98" s="3" t="str">
        <f t="shared" si="6"/>
        <v>European Union-tech</v>
      </c>
      <c r="B98" s="3" t="s">
        <v>61</v>
      </c>
      <c r="C98" s="6" t="s">
        <v>265</v>
      </c>
      <c r="D98" s="4"/>
      <c r="E98" s="4"/>
      <c r="F98" s="4"/>
      <c r="G98" s="4"/>
      <c r="H98" s="3" t="s">
        <v>94</v>
      </c>
      <c r="I98" s="8">
        <v>1</v>
      </c>
      <c r="J98" s="8"/>
      <c r="K98" s="8"/>
      <c r="L98" s="8" t="s">
        <v>24</v>
      </c>
      <c r="M98" s="8" t="s">
        <v>55</v>
      </c>
    </row>
    <row r="99" spans="1:13">
      <c r="A99" s="3" t="str">
        <f t="shared" si="6"/>
        <v>European Union-tech</v>
      </c>
      <c r="B99" s="3" t="s">
        <v>61</v>
      </c>
      <c r="C99" s="6" t="s">
        <v>265</v>
      </c>
      <c r="D99" s="4"/>
      <c r="E99" s="4"/>
      <c r="F99" s="4"/>
      <c r="G99" s="4"/>
      <c r="H99" s="3" t="s">
        <v>95</v>
      </c>
      <c r="I99" s="8" t="s">
        <v>217</v>
      </c>
      <c r="J99" s="7">
        <v>32660</v>
      </c>
      <c r="K99" s="7" t="s">
        <v>48</v>
      </c>
      <c r="L99" s="8"/>
      <c r="M99" s="8"/>
    </row>
    <row r="100" spans="1:13">
      <c r="A100" s="3" t="str">
        <f t="shared" si="6"/>
        <v>European Union-tech</v>
      </c>
      <c r="B100" s="3" t="s">
        <v>61</v>
      </c>
      <c r="C100" s="6" t="s">
        <v>265</v>
      </c>
      <c r="D100" s="4"/>
      <c r="E100" s="4"/>
      <c r="F100" s="4"/>
      <c r="G100" s="4"/>
      <c r="H100" s="3" t="s">
        <v>124</v>
      </c>
      <c r="I100" s="8" t="s">
        <v>217</v>
      </c>
      <c r="J100" s="7">
        <v>37781</v>
      </c>
      <c r="K100" s="7" t="s">
        <v>32</v>
      </c>
      <c r="L100" s="8"/>
      <c r="M100" s="8"/>
    </row>
    <row r="101" spans="1:13">
      <c r="A101" s="3" t="str">
        <f t="shared" si="6"/>
        <v>European Union-tech</v>
      </c>
      <c r="B101" s="3" t="s">
        <v>61</v>
      </c>
      <c r="C101" s="6" t="s">
        <v>265</v>
      </c>
      <c r="D101" s="4"/>
      <c r="E101" s="4"/>
      <c r="F101" s="4"/>
      <c r="G101" s="4"/>
      <c r="H101" s="3" t="s">
        <v>122</v>
      </c>
      <c r="I101" s="8">
        <v>1</v>
      </c>
      <c r="J101" s="7"/>
      <c r="K101" s="7"/>
      <c r="L101" s="8" t="s">
        <v>24</v>
      </c>
      <c r="M101" s="8" t="s">
        <v>25</v>
      </c>
    </row>
    <row r="102" spans="1:13">
      <c r="A102" s="3" t="str">
        <f t="shared" si="6"/>
        <v>European Union-tech</v>
      </c>
      <c r="B102" s="3" t="s">
        <v>61</v>
      </c>
      <c r="C102" s="6" t="s">
        <v>265</v>
      </c>
      <c r="D102" s="4"/>
      <c r="E102" s="4"/>
      <c r="F102" s="4"/>
      <c r="G102" s="4"/>
      <c r="H102" s="3" t="s">
        <v>130</v>
      </c>
      <c r="I102" s="3">
        <v>1</v>
      </c>
      <c r="J102" s="3"/>
      <c r="K102" s="3"/>
      <c r="L102" s="3" t="s">
        <v>24</v>
      </c>
      <c r="M102" s="3" t="s">
        <v>25</v>
      </c>
    </row>
    <row r="103" spans="1:13">
      <c r="A103" s="3" t="str">
        <f t="shared" si="6"/>
        <v>European Union-tech</v>
      </c>
      <c r="B103" s="3" t="s">
        <v>61</v>
      </c>
      <c r="C103" s="6" t="s">
        <v>265</v>
      </c>
      <c r="D103" s="4"/>
      <c r="E103" s="4"/>
      <c r="F103" s="4"/>
      <c r="G103" s="4"/>
      <c r="H103" s="3" t="s">
        <v>121</v>
      </c>
      <c r="I103" s="3">
        <v>1</v>
      </c>
      <c r="J103" s="3"/>
      <c r="K103" s="3"/>
      <c r="L103" s="3" t="s">
        <v>24</v>
      </c>
      <c r="M103" s="3" t="s">
        <v>25</v>
      </c>
    </row>
    <row r="104" spans="1:13">
      <c r="A104" s="3" t="str">
        <f t="shared" si="6"/>
        <v>European Union-tech</v>
      </c>
      <c r="B104" s="3" t="s">
        <v>61</v>
      </c>
      <c r="C104" s="6" t="s">
        <v>265</v>
      </c>
      <c r="D104" s="4"/>
      <c r="E104" s="4"/>
      <c r="F104" s="4"/>
      <c r="G104" s="4"/>
      <c r="H104" s="3" t="s">
        <v>125</v>
      </c>
      <c r="I104" s="3">
        <v>1</v>
      </c>
      <c r="J104" s="13"/>
      <c r="K104" s="13"/>
      <c r="L104" s="3" t="s">
        <v>24</v>
      </c>
      <c r="M104" s="3" t="s">
        <v>25</v>
      </c>
    </row>
    <row r="105" spans="1:13">
      <c r="A105" s="3" t="str">
        <f t="shared" si="6"/>
        <v>European Union-tech</v>
      </c>
      <c r="B105" s="3" t="s">
        <v>61</v>
      </c>
      <c r="C105" s="6" t="s">
        <v>265</v>
      </c>
      <c r="D105" s="4"/>
      <c r="E105" s="4"/>
      <c r="F105" s="4"/>
      <c r="G105" s="4"/>
      <c r="H105" s="3" t="s">
        <v>113</v>
      </c>
      <c r="I105" s="3">
        <v>1</v>
      </c>
      <c r="J105" s="3"/>
      <c r="K105" s="3"/>
      <c r="L105" s="3" t="s">
        <v>24</v>
      </c>
      <c r="M105" s="3" t="s">
        <v>25</v>
      </c>
    </row>
    <row r="106" spans="1:13">
      <c r="A106" s="3" t="str">
        <f t="shared" si="6"/>
        <v>European Union-tech</v>
      </c>
      <c r="B106" s="3" t="s">
        <v>61</v>
      </c>
      <c r="C106" s="6" t="s">
        <v>265</v>
      </c>
      <c r="D106" s="4"/>
      <c r="E106" s="4"/>
      <c r="F106" s="4"/>
      <c r="G106" s="4"/>
      <c r="H106" s="3" t="s">
        <v>100</v>
      </c>
      <c r="I106" s="3">
        <v>1</v>
      </c>
      <c r="J106" s="3"/>
      <c r="K106" s="3"/>
      <c r="L106" s="3" t="s">
        <v>24</v>
      </c>
      <c r="M106" s="3" t="s">
        <v>25</v>
      </c>
    </row>
    <row r="107" spans="1:13">
      <c r="G107" s="1"/>
      <c r="H107" s="1"/>
    </row>
    <row r="108" spans="1:13">
      <c r="G108" s="1"/>
      <c r="H108" s="1"/>
    </row>
    <row r="109" spans="1:13">
      <c r="G109" s="1"/>
      <c r="H109" s="1"/>
    </row>
    <row r="110" spans="1:13">
      <c r="G110" s="1"/>
      <c r="H110" s="1"/>
    </row>
    <row r="111" spans="1:13">
      <c r="G111" s="1"/>
      <c r="H111" s="1"/>
    </row>
    <row r="112" spans="1:13">
      <c r="G112" s="1"/>
      <c r="H112" s="1"/>
      <c r="I112" s="1"/>
      <c r="J112" s="1"/>
      <c r="K112" s="1"/>
      <c r="L112" s="1"/>
      <c r="M112" s="1"/>
    </row>
    <row r="113" spans="7:13">
      <c r="G113" s="1"/>
      <c r="H113" s="1"/>
      <c r="I113" s="1"/>
      <c r="J113" s="1"/>
      <c r="K113" s="1"/>
      <c r="L113" s="1"/>
      <c r="M113" s="1"/>
    </row>
    <row r="114" spans="7:13">
      <c r="G114" s="1"/>
      <c r="H114" s="1"/>
      <c r="I114" s="1"/>
      <c r="J114" s="1"/>
      <c r="K114" s="10"/>
      <c r="L114" s="10"/>
      <c r="M114" s="1"/>
    </row>
    <row r="115" spans="7:13">
      <c r="G115" s="1"/>
      <c r="H115" s="1"/>
      <c r="I115" s="10"/>
      <c r="J115" s="1"/>
      <c r="K115" s="1"/>
      <c r="L115" s="10"/>
      <c r="M115" s="1"/>
    </row>
    <row r="116" spans="7:13">
      <c r="G116" s="1"/>
      <c r="H116" s="1"/>
      <c r="I116" s="1"/>
      <c r="J116" s="1"/>
      <c r="K116" s="1"/>
      <c r="L116" s="1"/>
      <c r="M116" s="1"/>
    </row>
    <row r="117" spans="7:13">
      <c r="G117" s="1"/>
      <c r="H117" s="1"/>
      <c r="I117" s="1"/>
      <c r="J117" s="1"/>
      <c r="K117" s="1"/>
      <c r="L117" s="1"/>
      <c r="M117" s="1"/>
    </row>
    <row r="118" spans="7:13">
      <c r="G118" s="1"/>
      <c r="H118" s="1"/>
    </row>
    <row r="119" spans="7:13">
      <c r="G119" s="1"/>
      <c r="H119" s="1"/>
    </row>
    <row r="120" spans="7:13">
      <c r="G120" s="1"/>
      <c r="H120" s="1"/>
    </row>
    <row r="121" spans="7:13">
      <c r="G121" s="1"/>
      <c r="H121" s="1"/>
    </row>
    <row r="122" spans="7:13">
      <c r="G122" s="1"/>
      <c r="H122" s="1"/>
    </row>
    <row r="123" spans="7:13">
      <c r="G123" s="1"/>
      <c r="H123" s="1"/>
    </row>
    <row r="124" spans="7:13">
      <c r="G124" s="1"/>
      <c r="H124" s="1"/>
    </row>
    <row r="125" spans="7:13">
      <c r="G125" s="1"/>
      <c r="H125" s="1"/>
    </row>
    <row r="126" spans="7:13">
      <c r="G126" s="1"/>
      <c r="H126" s="1"/>
    </row>
    <row r="127" spans="7:13">
      <c r="G127" s="1"/>
      <c r="H127" s="1"/>
    </row>
    <row r="128" spans="7:13">
      <c r="G128" s="1"/>
      <c r="H128" s="1"/>
    </row>
    <row r="129" spans="7:8">
      <c r="G129" s="1"/>
      <c r="H129" s="1"/>
    </row>
    <row r="130" spans="7:8">
      <c r="G130" s="1"/>
      <c r="H130" s="1"/>
    </row>
    <row r="131" spans="7:8">
      <c r="G131" s="1"/>
      <c r="H131" s="1"/>
    </row>
    <row r="132" spans="7:8">
      <c r="G132" s="1"/>
      <c r="H132" s="1"/>
    </row>
    <row r="133" spans="7:8">
      <c r="G133" s="1"/>
      <c r="H133" s="1"/>
    </row>
    <row r="134" spans="7:8">
      <c r="G134" s="1"/>
      <c r="H134" s="1"/>
    </row>
    <row r="135" spans="7:8">
      <c r="G135" s="1"/>
      <c r="H135" s="1"/>
    </row>
    <row r="136" spans="7:8">
      <c r="G136" s="1"/>
      <c r="H136" s="1"/>
    </row>
    <row r="137" spans="7:8">
      <c r="G137" s="1"/>
      <c r="H137" s="1"/>
    </row>
    <row r="138" spans="7:8">
      <c r="G138" s="1"/>
      <c r="H138" s="1"/>
    </row>
    <row r="139" spans="7:8">
      <c r="G139" s="1"/>
      <c r="H139" s="1"/>
    </row>
    <row r="140" spans="7:8">
      <c r="G140" s="1"/>
      <c r="H140" s="1"/>
    </row>
    <row r="141" spans="7:8">
      <c r="G141" s="1"/>
      <c r="H141" s="1"/>
    </row>
    <row r="142" spans="7:8">
      <c r="G142" s="1"/>
      <c r="H142" s="1"/>
    </row>
    <row r="143" spans="7:8">
      <c r="G143" s="1"/>
      <c r="H143" s="1"/>
    </row>
    <row r="144" spans="7:8">
      <c r="G144" s="1"/>
      <c r="H144" s="1"/>
    </row>
    <row r="145" spans="7:8">
      <c r="G145" s="1"/>
      <c r="H145" s="1"/>
    </row>
    <row r="146" spans="7:8">
      <c r="G146" s="1"/>
      <c r="H146" s="1"/>
    </row>
    <row r="147" spans="7:8">
      <c r="G147" s="1"/>
      <c r="H147" s="1"/>
    </row>
    <row r="148" spans="7:8">
      <c r="G148" s="1"/>
      <c r="H148" s="1"/>
    </row>
    <row r="149" spans="7:8">
      <c r="G149" s="1"/>
      <c r="H149" s="1"/>
    </row>
    <row r="150" spans="7:8">
      <c r="G150" s="1"/>
      <c r="H150" s="1"/>
    </row>
    <row r="151" spans="7:8">
      <c r="G151" s="1"/>
      <c r="H151" s="10"/>
    </row>
    <row r="152" spans="7:8">
      <c r="G152" s="1"/>
      <c r="H152" s="1"/>
    </row>
    <row r="153" spans="7:8">
      <c r="G153" s="1"/>
      <c r="H153" s="1"/>
    </row>
    <row r="154" spans="7:8">
      <c r="G154" s="1"/>
      <c r="H154" s="1"/>
    </row>
    <row r="155" spans="7:8">
      <c r="G155" s="1"/>
      <c r="H155" s="1"/>
    </row>
    <row r="156" spans="7:8">
      <c r="G156" s="1"/>
      <c r="H156" s="1"/>
    </row>
    <row r="157" spans="7:8">
      <c r="G157" s="1"/>
      <c r="H157" s="1"/>
    </row>
    <row r="158" spans="7:8">
      <c r="G158" s="1"/>
      <c r="H158" s="1"/>
    </row>
    <row r="159" spans="7:8">
      <c r="G159" s="1"/>
      <c r="H159" s="1"/>
    </row>
    <row r="160" spans="7:8">
      <c r="G160" s="1"/>
      <c r="H160" s="1"/>
    </row>
    <row r="161" spans="7:8">
      <c r="G161" s="1"/>
      <c r="H161" s="1"/>
    </row>
    <row r="162" spans="7:8">
      <c r="G162" s="1"/>
      <c r="H162" s="1"/>
    </row>
    <row r="163" spans="7:8">
      <c r="G163" s="1"/>
      <c r="H163" s="1"/>
    </row>
    <row r="164" spans="7:8">
      <c r="G164" s="1"/>
      <c r="H164" s="1"/>
    </row>
    <row r="165" spans="7:8">
      <c r="G165" s="1"/>
      <c r="H165" s="1"/>
    </row>
    <row r="166" spans="7:8">
      <c r="G166" s="1"/>
      <c r="H166" s="1"/>
    </row>
    <row r="167" spans="7:8">
      <c r="G167" s="1"/>
      <c r="H167" s="1"/>
    </row>
    <row r="168" spans="7:8">
      <c r="G168" s="1"/>
      <c r="H168" s="1"/>
    </row>
    <row r="169" spans="7:8">
      <c r="G169" s="1"/>
      <c r="H169" s="1"/>
    </row>
    <row r="170" spans="7:8">
      <c r="G170" s="1"/>
      <c r="H170" s="1"/>
    </row>
    <row r="171" spans="7:8">
      <c r="G171" s="1"/>
      <c r="H171" s="1"/>
    </row>
    <row r="172" spans="7:8">
      <c r="G172" s="1"/>
      <c r="H172" s="1"/>
    </row>
    <row r="173" spans="7:8">
      <c r="G173" s="1"/>
      <c r="H173" s="1"/>
    </row>
    <row r="174" spans="7:8">
      <c r="G174" s="1"/>
      <c r="H174" s="1"/>
    </row>
    <row r="175" spans="7:8">
      <c r="G175" s="1"/>
      <c r="H175" s="1"/>
    </row>
    <row r="176" spans="7:8">
      <c r="G176" s="1"/>
      <c r="H176" s="1"/>
    </row>
    <row r="177" spans="7:8">
      <c r="G177" s="1"/>
      <c r="H177" s="1"/>
    </row>
    <row r="178" spans="7:8">
      <c r="G178" s="1"/>
      <c r="H178" s="1"/>
    </row>
    <row r="179" spans="7:8">
      <c r="G179" s="1"/>
      <c r="H179" s="1"/>
    </row>
    <row r="180" spans="7:8">
      <c r="G180" s="1"/>
      <c r="H180" s="1"/>
    </row>
    <row r="181" spans="7:8">
      <c r="G181" s="1"/>
      <c r="H181" s="1"/>
    </row>
    <row r="182" spans="7:8">
      <c r="G182" s="1"/>
      <c r="H182" s="1"/>
    </row>
    <row r="183" spans="7:8">
      <c r="G183" s="1"/>
      <c r="H183" s="1"/>
    </row>
    <row r="184" spans="7:8">
      <c r="G184" s="1"/>
      <c r="H184" s="1"/>
    </row>
    <row r="185" spans="7:8">
      <c r="G185" s="1"/>
      <c r="H185" s="1"/>
    </row>
    <row r="186" spans="7:8">
      <c r="G186" s="1"/>
      <c r="H186" s="1"/>
    </row>
    <row r="187" spans="7:8">
      <c r="G187" s="1"/>
      <c r="H187" s="1"/>
    </row>
    <row r="188" spans="7:8">
      <c r="G188" s="1"/>
      <c r="H188" s="1"/>
    </row>
    <row r="189" spans="7:8">
      <c r="G189" s="1"/>
      <c r="H189" s="1"/>
    </row>
    <row r="190" spans="7:8">
      <c r="G190" s="1"/>
      <c r="H190" s="1"/>
    </row>
    <row r="191" spans="7:8">
      <c r="G191" s="1"/>
      <c r="H191" s="1"/>
    </row>
    <row r="192" spans="7:8">
      <c r="G192" s="1"/>
      <c r="H192" s="1"/>
    </row>
    <row r="193" spans="7:8">
      <c r="G193" s="1"/>
      <c r="H193" s="1"/>
    </row>
    <row r="194" spans="7:8">
      <c r="G194" s="1"/>
      <c r="H194" s="1"/>
    </row>
    <row r="195" spans="7:8">
      <c r="G195" s="1"/>
      <c r="H195" s="1"/>
    </row>
    <row r="196" spans="7:8">
      <c r="G196" s="1"/>
      <c r="H196" s="1"/>
    </row>
    <row r="197" spans="7:8">
      <c r="G197" s="1"/>
      <c r="H197" s="1"/>
    </row>
    <row r="198" spans="7:8">
      <c r="G198" s="1"/>
      <c r="H198" s="1"/>
    </row>
    <row r="199" spans="7:8">
      <c r="G199" s="1"/>
      <c r="H199" s="1"/>
    </row>
    <row r="200" spans="7:8">
      <c r="G200" s="1"/>
      <c r="H200" s="1"/>
    </row>
    <row r="201" spans="7:8">
      <c r="G201" s="1"/>
      <c r="H201" s="1"/>
    </row>
    <row r="202" spans="7:8">
      <c r="G202" s="1"/>
      <c r="H202" s="1"/>
    </row>
    <row r="203" spans="7:8">
      <c r="G203" s="1"/>
      <c r="H203" s="1"/>
    </row>
    <row r="204" spans="7:8">
      <c r="G204" s="1"/>
      <c r="H204" s="1"/>
    </row>
    <row r="205" spans="7:8">
      <c r="G205" s="1"/>
      <c r="H205" s="1"/>
    </row>
    <row r="206" spans="7:8">
      <c r="G206" s="1"/>
      <c r="H206" s="1"/>
    </row>
    <row r="207" spans="7:8">
      <c r="G207" s="1"/>
      <c r="H207" s="1"/>
    </row>
    <row r="208" spans="7:8">
      <c r="G208" s="1"/>
      <c r="H208" s="1"/>
    </row>
    <row r="209" spans="7:8">
      <c r="G209" s="1"/>
      <c r="H209" s="1"/>
    </row>
    <row r="210" spans="7:8">
      <c r="G210" s="1"/>
      <c r="H210" s="1"/>
    </row>
    <row r="211" spans="7:8">
      <c r="G211" s="1"/>
      <c r="H211" s="1"/>
    </row>
    <row r="212" spans="7:8">
      <c r="G212" s="1"/>
      <c r="H212" s="1"/>
    </row>
    <row r="213" spans="7:8">
      <c r="G213" s="1"/>
      <c r="H213" s="1"/>
    </row>
    <row r="214" spans="7:8">
      <c r="G214" s="1"/>
      <c r="H214" s="1"/>
    </row>
    <row r="215" spans="7:8">
      <c r="G215" s="1"/>
      <c r="H215" s="1"/>
    </row>
    <row r="216" spans="7:8">
      <c r="G216" s="1"/>
      <c r="H216" s="1"/>
    </row>
    <row r="217" spans="7:8">
      <c r="G217" s="1"/>
      <c r="H217" s="1"/>
    </row>
    <row r="218" spans="7:8">
      <c r="G218" s="1"/>
      <c r="H218" s="1"/>
    </row>
    <row r="219" spans="7:8">
      <c r="G219" s="1"/>
      <c r="H219" s="1"/>
    </row>
    <row r="220" spans="7:8">
      <c r="G220" s="1"/>
      <c r="H220" s="1"/>
    </row>
    <row r="221" spans="7:8">
      <c r="G221" s="1"/>
      <c r="H221" s="1"/>
    </row>
    <row r="222" spans="7:8">
      <c r="G222" s="1"/>
      <c r="H222" s="1"/>
    </row>
    <row r="223" spans="7:8">
      <c r="G223" s="1"/>
      <c r="H223" s="1"/>
    </row>
    <row r="224" spans="7:8">
      <c r="G224" s="1"/>
      <c r="H224" s="1"/>
    </row>
    <row r="225" spans="7:8">
      <c r="G225" s="1"/>
      <c r="H225" s="1"/>
    </row>
    <row r="226" spans="7:8">
      <c r="G226" s="1"/>
      <c r="H226" s="1"/>
    </row>
    <row r="227" spans="7:8">
      <c r="G227" s="1"/>
      <c r="H227" s="1"/>
    </row>
    <row r="228" spans="7:8">
      <c r="G228" s="1"/>
      <c r="H228" s="1"/>
    </row>
    <row r="229" spans="7:8">
      <c r="G229" s="1"/>
      <c r="H229" s="1"/>
    </row>
    <row r="230" spans="7:8">
      <c r="G230" s="1"/>
      <c r="H230" s="1"/>
    </row>
    <row r="231" spans="7:8">
      <c r="G231" s="1"/>
      <c r="H231" s="1"/>
    </row>
    <row r="232" spans="7:8">
      <c r="G232" s="1"/>
      <c r="H232" s="1"/>
    </row>
    <row r="233" spans="7:8">
      <c r="G233" s="1"/>
      <c r="H233" s="1"/>
    </row>
    <row r="234" spans="7:8">
      <c r="G234" s="1"/>
      <c r="H234" s="1"/>
    </row>
    <row r="235" spans="7:8">
      <c r="G235" s="1"/>
      <c r="H235" s="1"/>
    </row>
    <row r="236" spans="7:8">
      <c r="G236" s="1"/>
      <c r="H236" s="1"/>
    </row>
    <row r="237" spans="7:8">
      <c r="G237" s="1"/>
      <c r="H237" s="1"/>
    </row>
    <row r="238" spans="7:8">
      <c r="G238" s="1"/>
      <c r="H238" s="1"/>
    </row>
    <row r="239" spans="7:8">
      <c r="G239" s="1"/>
      <c r="H239" s="1"/>
    </row>
    <row r="240" spans="7:8">
      <c r="G240" s="1"/>
      <c r="H240" s="1"/>
    </row>
    <row r="241" spans="7:8">
      <c r="G241" s="1"/>
      <c r="H241" s="1"/>
    </row>
    <row r="242" spans="7:8">
      <c r="G242" s="1"/>
      <c r="H242" s="1"/>
    </row>
    <row r="243" spans="7:8">
      <c r="G243" s="1"/>
      <c r="H243" s="1"/>
    </row>
    <row r="244" spans="7:8">
      <c r="G244" s="1"/>
      <c r="H244" s="1"/>
    </row>
    <row r="245" spans="7:8">
      <c r="G245" s="1"/>
      <c r="H245" s="1"/>
    </row>
    <row r="246" spans="7:8">
      <c r="G246" s="1"/>
      <c r="H246" s="1"/>
    </row>
    <row r="247" spans="7:8">
      <c r="G247" s="1"/>
      <c r="H247" s="1"/>
    </row>
    <row r="248" spans="7:8">
      <c r="G248" s="1"/>
      <c r="H248" s="1"/>
    </row>
    <row r="249" spans="7:8">
      <c r="G249" s="1"/>
      <c r="H249" s="1"/>
    </row>
    <row r="250" spans="7:8">
      <c r="G250" s="1"/>
      <c r="H250" s="1"/>
    </row>
    <row r="251" spans="7:8">
      <c r="G251" s="1"/>
      <c r="H251" s="1"/>
    </row>
    <row r="252" spans="7:8">
      <c r="G252" s="1"/>
      <c r="H252" s="1"/>
    </row>
    <row r="253" spans="7:8">
      <c r="G253" s="1"/>
      <c r="H253" s="1"/>
    </row>
    <row r="254" spans="7:8">
      <c r="G254" s="1"/>
      <c r="H254" s="1"/>
    </row>
    <row r="255" spans="7:8">
      <c r="G255" s="1"/>
      <c r="H255" s="1"/>
    </row>
    <row r="256" spans="7:8">
      <c r="G256" s="1"/>
      <c r="H256" s="1"/>
    </row>
    <row r="257" spans="7:8">
      <c r="G257" s="1"/>
      <c r="H257" s="1"/>
    </row>
    <row r="258" spans="7:8">
      <c r="G258" s="1"/>
      <c r="H258" s="1"/>
    </row>
    <row r="259" spans="7:8">
      <c r="G259" s="1"/>
      <c r="H259" s="1"/>
    </row>
    <row r="260" spans="7:8">
      <c r="G260" s="1"/>
      <c r="H260" s="1"/>
    </row>
    <row r="261" spans="7:8">
      <c r="G261" s="1"/>
      <c r="H261" s="1"/>
    </row>
    <row r="262" spans="7:8">
      <c r="G262" s="1"/>
      <c r="H262" s="1"/>
    </row>
    <row r="263" spans="7:8">
      <c r="G263" s="1"/>
      <c r="H263" s="1"/>
    </row>
    <row r="264" spans="7:8">
      <c r="G264" s="1"/>
      <c r="H264" s="1"/>
    </row>
    <row r="265" spans="7:8">
      <c r="G265" s="1"/>
      <c r="H265" s="1"/>
    </row>
    <row r="266" spans="7:8">
      <c r="G266" s="1"/>
      <c r="H266" s="1"/>
    </row>
    <row r="267" spans="7:8">
      <c r="G267" s="1"/>
      <c r="H267" s="1"/>
    </row>
    <row r="268" spans="7:8">
      <c r="G268" s="1"/>
      <c r="H268" s="1"/>
    </row>
    <row r="269" spans="7:8">
      <c r="G269" s="1"/>
      <c r="H269" s="1"/>
    </row>
    <row r="270" spans="7:8">
      <c r="G270" s="1"/>
      <c r="H270" s="1"/>
    </row>
    <row r="271" spans="7:8">
      <c r="G271" s="1"/>
      <c r="H271" s="1"/>
    </row>
    <row r="272" spans="7:8">
      <c r="G272" s="1"/>
      <c r="H272" s="1"/>
    </row>
    <row r="273" spans="7:8">
      <c r="G273" s="1"/>
      <c r="H273" s="1"/>
    </row>
    <row r="274" spans="7:8">
      <c r="G274" s="1"/>
      <c r="H274" s="1"/>
    </row>
    <row r="275" spans="7:8">
      <c r="G275" s="1"/>
      <c r="H275" s="1"/>
    </row>
    <row r="276" spans="7:8">
      <c r="G276" s="1"/>
      <c r="H276" s="1"/>
    </row>
    <row r="277" spans="7:8">
      <c r="G277" s="1"/>
      <c r="H277" s="1"/>
    </row>
    <row r="278" spans="7:8">
      <c r="G278" s="1"/>
      <c r="H278" s="1"/>
    </row>
    <row r="279" spans="7:8">
      <c r="G279" s="1"/>
      <c r="H279" s="1"/>
    </row>
    <row r="280" spans="7:8">
      <c r="G280" s="1"/>
      <c r="H280" s="1"/>
    </row>
    <row r="281" spans="7:8">
      <c r="G281" s="1"/>
      <c r="H281" s="1"/>
    </row>
    <row r="282" spans="7:8">
      <c r="G282" s="1"/>
      <c r="H282" s="1"/>
    </row>
    <row r="283" spans="7:8">
      <c r="G283" s="1"/>
      <c r="H283" s="1"/>
    </row>
    <row r="284" spans="7:8">
      <c r="G284" s="1"/>
      <c r="H284" s="1"/>
    </row>
    <row r="285" spans="7:8">
      <c r="G285" s="1"/>
      <c r="H285" s="1"/>
    </row>
    <row r="286" spans="7:8">
      <c r="G286" s="1"/>
      <c r="H286" s="1"/>
    </row>
    <row r="287" spans="7:8">
      <c r="G287" s="1"/>
      <c r="H287" s="1"/>
    </row>
    <row r="288" spans="7:8">
      <c r="G288" s="1"/>
      <c r="H288" s="1"/>
    </row>
    <row r="289" spans="7:8">
      <c r="G289" s="1"/>
      <c r="H289" s="1"/>
    </row>
    <row r="290" spans="7:8">
      <c r="G290" s="1"/>
      <c r="H290" s="1"/>
    </row>
    <row r="291" spans="7:8">
      <c r="G291" s="1"/>
      <c r="H291" s="1"/>
    </row>
    <row r="292" spans="7:8">
      <c r="G292" s="1"/>
      <c r="H292" s="1"/>
    </row>
    <row r="293" spans="7:8">
      <c r="G293" s="1"/>
      <c r="H293" s="1"/>
    </row>
    <row r="294" spans="7:8">
      <c r="G294" s="1"/>
      <c r="H294" s="1"/>
    </row>
    <row r="295" spans="7:8">
      <c r="G295" s="1"/>
      <c r="H295" s="1"/>
    </row>
    <row r="296" spans="7:8">
      <c r="G296" s="1"/>
      <c r="H296" s="1"/>
    </row>
    <row r="297" spans="7:8">
      <c r="G297" s="1"/>
      <c r="H297" s="1"/>
    </row>
    <row r="298" spans="7:8">
      <c r="G298" s="1"/>
      <c r="H298" s="1"/>
    </row>
    <row r="299" spans="7:8">
      <c r="G299" s="1"/>
      <c r="H299" s="1"/>
    </row>
    <row r="300" spans="7:8">
      <c r="G300" s="1"/>
      <c r="H300" s="1"/>
    </row>
    <row r="301" spans="7:8">
      <c r="G301" s="1"/>
      <c r="H301" s="1"/>
    </row>
    <row r="302" spans="7:8">
      <c r="G302" s="1"/>
      <c r="H302" s="1"/>
    </row>
    <row r="303" spans="7:8">
      <c r="G303" s="1"/>
      <c r="H303" s="1"/>
    </row>
    <row r="304" spans="7:8">
      <c r="G304" s="1"/>
      <c r="H304" s="1"/>
    </row>
    <row r="305" spans="7:8">
      <c r="G305" s="1"/>
      <c r="H305" s="1"/>
    </row>
    <row r="306" spans="7:8">
      <c r="G306" s="1"/>
      <c r="H306" s="1"/>
    </row>
    <row r="307" spans="7:8">
      <c r="G307" s="1"/>
      <c r="H307" s="1"/>
    </row>
    <row r="308" spans="7:8">
      <c r="G308" s="1"/>
      <c r="H308" s="1"/>
    </row>
    <row r="309" spans="7:8">
      <c r="G309" s="1"/>
      <c r="H309" s="1"/>
    </row>
    <row r="310" spans="7:8">
      <c r="G310" s="1"/>
      <c r="H310" s="1"/>
    </row>
    <row r="311" spans="7:8">
      <c r="G311" s="1"/>
      <c r="H311" s="1"/>
    </row>
    <row r="312" spans="7:8">
      <c r="G312" s="1"/>
      <c r="H312" s="1"/>
    </row>
    <row r="313" spans="7:8">
      <c r="G313" s="1"/>
      <c r="H313" s="1"/>
    </row>
    <row r="314" spans="7:8">
      <c r="G314" s="1"/>
      <c r="H314" s="1"/>
    </row>
    <row r="315" spans="7:8">
      <c r="G315" s="1"/>
      <c r="H315" s="1"/>
    </row>
    <row r="316" spans="7:8">
      <c r="G316" s="1"/>
      <c r="H316" s="1"/>
    </row>
    <row r="317" spans="7:8">
      <c r="G317" s="1"/>
      <c r="H317" s="1"/>
    </row>
    <row r="318" spans="7:8">
      <c r="G318" s="1"/>
      <c r="H318" s="1"/>
    </row>
    <row r="319" spans="7:8">
      <c r="G319" s="1"/>
      <c r="H319" s="1"/>
    </row>
    <row r="320" spans="7:8">
      <c r="G320" s="1"/>
      <c r="H320" s="1"/>
    </row>
    <row r="321" spans="7:8">
      <c r="G321" s="1"/>
      <c r="H321" s="1"/>
    </row>
    <row r="322" spans="7:8">
      <c r="G322" s="1"/>
      <c r="H322" s="1"/>
    </row>
    <row r="323" spans="7:8">
      <c r="G323" s="1"/>
      <c r="H323" s="1"/>
    </row>
    <row r="324" spans="7:8">
      <c r="G324" s="1"/>
      <c r="H324" s="1"/>
    </row>
    <row r="325" spans="7:8">
      <c r="G325" s="1"/>
      <c r="H325" s="1"/>
    </row>
    <row r="326" spans="7:8">
      <c r="G326" s="1"/>
      <c r="H326" s="1"/>
    </row>
    <row r="327" spans="7:8">
      <c r="G327" s="1"/>
      <c r="H327" s="1"/>
    </row>
    <row r="328" spans="7:8">
      <c r="G328" s="1"/>
      <c r="H328" s="1"/>
    </row>
    <row r="329" spans="7:8">
      <c r="G329" s="1"/>
      <c r="H329" s="1"/>
    </row>
    <row r="330" spans="7:8">
      <c r="G330" s="1"/>
      <c r="H330" s="1"/>
    </row>
    <row r="331" spans="7:8">
      <c r="G331" s="1"/>
      <c r="H331" s="1"/>
    </row>
    <row r="332" spans="7:8">
      <c r="G332" s="1"/>
      <c r="H332" s="1"/>
    </row>
    <row r="333" spans="7:8">
      <c r="G333" s="1"/>
      <c r="H333" s="1"/>
    </row>
    <row r="334" spans="7:8">
      <c r="G334" s="1"/>
      <c r="H334" s="1"/>
    </row>
    <row r="335" spans="7:8">
      <c r="G335" s="1"/>
      <c r="H335" s="1"/>
    </row>
    <row r="336" spans="7:8">
      <c r="G336" s="1"/>
      <c r="H336" s="1"/>
    </row>
    <row r="337" spans="7:8">
      <c r="G337" s="1"/>
      <c r="H337" s="1"/>
    </row>
    <row r="338" spans="7:8">
      <c r="G338" s="1"/>
      <c r="H338" s="1"/>
    </row>
    <row r="339" spans="7:8">
      <c r="G339" s="1"/>
      <c r="H339" s="1"/>
    </row>
    <row r="340" spans="7:8">
      <c r="G340" s="1"/>
      <c r="H340" s="1"/>
    </row>
    <row r="341" spans="7:8">
      <c r="G341" s="1"/>
      <c r="H341" s="1"/>
    </row>
    <row r="342" spans="7:8">
      <c r="G342" s="1"/>
      <c r="H342" s="1"/>
    </row>
    <row r="343" spans="7:8">
      <c r="G343" s="1"/>
      <c r="H343" s="1"/>
    </row>
    <row r="344" spans="7:8">
      <c r="G344" s="1"/>
      <c r="H344" s="1"/>
    </row>
    <row r="345" spans="7:8">
      <c r="G345" s="1"/>
      <c r="H345" s="1"/>
    </row>
    <row r="346" spans="7:8">
      <c r="G346" s="1"/>
      <c r="H346" s="1"/>
    </row>
    <row r="347" spans="7:8">
      <c r="G347" s="1"/>
      <c r="H347" s="1"/>
    </row>
    <row r="348" spans="7:8">
      <c r="G348" s="1"/>
      <c r="H348" s="1"/>
    </row>
    <row r="349" spans="7:8">
      <c r="G349" s="1"/>
      <c r="H349" s="1"/>
    </row>
    <row r="350" spans="7:8">
      <c r="G350" s="1"/>
      <c r="H350" s="1"/>
    </row>
    <row r="351" spans="7:8">
      <c r="G351" s="1"/>
      <c r="H351" s="1"/>
    </row>
    <row r="352" spans="7:8">
      <c r="G352" s="1"/>
      <c r="H352" s="1"/>
    </row>
    <row r="353" spans="7:8">
      <c r="G353" s="1"/>
      <c r="H353" s="1"/>
    </row>
    <row r="354" spans="7:8">
      <c r="G354" s="1"/>
      <c r="H354" s="1"/>
    </row>
    <row r="355" spans="7:8">
      <c r="G355" s="1"/>
      <c r="H355" s="1"/>
    </row>
    <row r="356" spans="7:8">
      <c r="G356" s="1"/>
      <c r="H356" s="1"/>
    </row>
    <row r="357" spans="7:8">
      <c r="G357" s="1"/>
      <c r="H357" s="1"/>
    </row>
    <row r="358" spans="7:8">
      <c r="G358" s="1"/>
      <c r="H358" s="1"/>
    </row>
    <row r="359" spans="7:8">
      <c r="G359" s="1"/>
      <c r="H359" s="1"/>
    </row>
    <row r="360" spans="7:8">
      <c r="G360" s="1"/>
      <c r="H360" s="1"/>
    </row>
    <row r="361" spans="7:8">
      <c r="G361" s="1"/>
      <c r="H361" s="1"/>
    </row>
  </sheetData>
  <autoFilter xmlns:etc="http://www.wps.cn/officeDocument/2017/etCustomData" ref="A1:M106" etc:filterBottomFollowUsedRange="0">
    <extLst/>
  </autoFilter>
  <mergeCells count="3">
    <mergeCell ref="I3:M74"/>
    <mergeCell ref="A75:M77"/>
    <mergeCell ref="D78:G106"/>
  </mergeCells>
  <dataValidations count="6">
    <dataValidation allowBlank="1" showInputMessage="1" showErrorMessage="1" promptTitle="注意，此处是初步标签" prompt="注意，此处是初步标签" sqref="G1 H21 G229:H229 G243:H243 G251:H251 G252 G253:H253 G263:H263 H275 G280:H280 G287:H287 G295:H295 G317:H317 G321:H321 G333:H333 G3:G228 G230:G242 G244:G250 G254:G262 G264:G267 G269:G274 G276:G279 G281:G286 G288:G294 G303:G316 G318:G320 G322:G327 G330:G332 G334:G1048576"/>
    <dataValidation allowBlank="1" showInputMessage="1" showErrorMessage="1" promptTitle="注意，这个是研判后标签" prompt="注意，这个是研判后标签" sqref="H1 H252 H297 H3:H20 H22:H37 H39:H43 H45:H74 H107:H228 H230:H242 H244:H250 H254:H262 H264:H274 H276:H279 H281:H286 H288:H294 H303:H316 H318:H320 H322:H327 H330:H332 H334:H1048576"/>
    <dataValidation type="list" allowBlank="1" showInputMessage="1" showErrorMessage="1" sqref="B3:B1048576">
      <formula1>"user,worker,tech,gov"</formula1>
    </dataValidation>
    <dataValidation type="list" allowBlank="1" showInputMessage="1" showErrorMessage="1" sqref="C3:C1048576">
      <formula1>"P.R. China,United States,European Union,Kenya"</formula1>
    </dataValidation>
    <dataValidation type="list" allowBlank="1" showInputMessage="1" showErrorMessage="1" sqref="D3:D74 D97:E1048576">
      <formula1>"DeepSeek Reasoner V3.2,OpenAI ChatGPT 5.4 Pro,Google Gemini 3.1 Pro Preview,Doubao Seed 2.0 Pro"</formula1>
    </dataValidation>
    <dataValidation type="list" allowBlank="1" showInputMessage="1" showErrorMessage="1" sqref="M3:M1048576">
      <formula1>"1(4/4),0.75(3/4),0.6(2/4+votepass),0.4(2/4+votedenied),0.25(1/4)"</formula1>
    </dataValidation>
  </dataValidations>
  <pageMargins left="0.75" right="0.75" top="1" bottom="1" header="0.5" footer="0.5"/>
  <headerFooter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8"/>
  <sheetViews>
    <sheetView zoomScale="85" zoomScaleNormal="85" topLeftCell="C1" workbookViewId="0">
      <pane ySplit="2" topLeftCell="A55" activePane="bottomLeft" state="frozen"/>
      <selection/>
      <selection pane="bottomLeft" activeCell="H61" sqref="H61:M83"/>
    </sheetView>
  </sheetViews>
  <sheetFormatPr defaultColWidth="8.61261261261261" defaultRowHeight="14.1"/>
  <cols>
    <col min="1" max="1" width="20.7117117117117" customWidth="1"/>
    <col min="2" max="2" width="11.7027027027027" customWidth="1"/>
    <col min="3" max="3" width="19.5495495495495" customWidth="1"/>
    <col min="4" max="4" width="25.1621621621622" customWidth="1"/>
    <col min="5" max="5" width="9.46846846846847" customWidth="1"/>
    <col min="6" max="6" width="12.8558558558559" customWidth="1"/>
    <col min="7" max="7" width="30.4144144144144" customWidth="1"/>
    <col min="8" max="8" width="34.0810810810811" customWidth="1"/>
    <col min="9" max="9" width="11.7027027027027" customWidth="1"/>
    <col min="10" max="10" width="13.9369369369369" customWidth="1"/>
    <col min="11" max="11" width="11.7027027027027" customWidth="1"/>
    <col min="12" max="12" width="20.7117117117117" customWidth="1"/>
    <col min="13" max="13" width="17.3243243243243" customWidth="1"/>
  </cols>
  <sheetData>
    <row r="1" spans="1:13">
      <c r="A1" s="3" t="s">
        <v>6</v>
      </c>
      <c r="B1" s="3" t="s">
        <v>266</v>
      </c>
      <c r="C1" s="3" t="s">
        <v>267</v>
      </c>
      <c r="D1" s="3" t="s">
        <v>268</v>
      </c>
      <c r="E1" s="3" t="s">
        <v>497</v>
      </c>
      <c r="F1" s="3" t="s">
        <v>269</v>
      </c>
      <c r="G1" s="3" t="s">
        <v>270</v>
      </c>
      <c r="H1" s="3" t="s">
        <v>271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</row>
    <row r="2" spans="1:13">
      <c r="A2" s="3" t="s">
        <v>272</v>
      </c>
      <c r="B2" s="3" t="s">
        <v>272</v>
      </c>
      <c r="C2" s="3" t="s">
        <v>272</v>
      </c>
      <c r="D2" s="3" t="s">
        <v>272</v>
      </c>
      <c r="E2" s="3"/>
      <c r="F2" s="3" t="str">
        <f t="shared" ref="F2:F17" si="0">IF(OR(D2="Doubao Seed 2.0 Pro",D2="DeepSeek Reasoner V3.2"),"China","US")</f>
        <v>US</v>
      </c>
      <c r="G2" s="3" t="s">
        <v>272</v>
      </c>
      <c r="H2" s="3" t="s">
        <v>272</v>
      </c>
      <c r="I2" s="3" t="s">
        <v>272</v>
      </c>
      <c r="J2" s="3">
        <f ca="1">RANDBETWEEN(10000,99999)</f>
        <v>31703</v>
      </c>
      <c r="K2" s="3" t="str">
        <f ca="1">IF(MOD(J2,2)=0,"China-backup","US-backup")</f>
        <v>US-backup</v>
      </c>
      <c r="L2" s="3" t="s">
        <v>272</v>
      </c>
      <c r="M2" s="3" t="s">
        <v>272</v>
      </c>
    </row>
    <row r="3" spans="1:13">
      <c r="A3" s="3" t="str">
        <f t="shared" ref="A3:A17" si="1">C3&amp;"-"&amp;B3</f>
        <v>European Union-worker</v>
      </c>
      <c r="B3" s="3" t="s">
        <v>36</v>
      </c>
      <c r="C3" s="3" t="s">
        <v>265</v>
      </c>
      <c r="D3" s="3" t="s">
        <v>273</v>
      </c>
      <c r="E3" s="3" cm="1">
        <f t="array" ref="E3">_xlfn.IFS(D3="Doubao Seed 2.0 Pro",1,D3="Deepseek Reasoner V3.2",2,D3="Google Gemini 3.1 Pro Preview",3,D3="OpenAI ChatGPT 5.4 Pro",4)</f>
        <v>1</v>
      </c>
      <c r="F3" s="3" t="str">
        <f t="shared" si="0"/>
        <v>China</v>
      </c>
      <c r="G3" s="3" t="s">
        <v>112</v>
      </c>
      <c r="H3" s="3" t="s">
        <v>112</v>
      </c>
      <c r="I3" s="4" t="s">
        <v>197</v>
      </c>
      <c r="J3" s="4"/>
      <c r="K3" s="4"/>
      <c r="L3" s="4"/>
      <c r="M3" s="4"/>
    </row>
    <row r="4" spans="1:13">
      <c r="A4" s="3" t="str">
        <f t="shared" si="1"/>
        <v>European Union-worker</v>
      </c>
      <c r="B4" s="3" t="s">
        <v>36</v>
      </c>
      <c r="C4" s="3" t="s">
        <v>265</v>
      </c>
      <c r="D4" s="3" t="s">
        <v>273</v>
      </c>
      <c r="E4" s="3" cm="1">
        <f t="array" ref="E4">_xlfn.IFS(D4="Doubao Seed 2.0 Pro",1,D4="Deepseek Reasoner V3.2",2,D4="Google Gemini 3.1 Pro Preview",3,D4="OpenAI ChatGPT 5.4 Pro",4)</f>
        <v>1</v>
      </c>
      <c r="F4" s="3" t="str">
        <f t="shared" si="0"/>
        <v>China</v>
      </c>
      <c r="G4" s="3" t="s">
        <v>498</v>
      </c>
      <c r="H4" s="3" t="s">
        <v>100</v>
      </c>
      <c r="I4" s="4"/>
      <c r="J4" s="4"/>
      <c r="K4" s="4"/>
      <c r="L4" s="4"/>
      <c r="M4" s="4"/>
    </row>
    <row r="5" spans="1:13">
      <c r="A5" s="3" t="str">
        <f t="shared" si="1"/>
        <v>European Union-worker</v>
      </c>
      <c r="B5" s="3" t="s">
        <v>36</v>
      </c>
      <c r="C5" s="3" t="s">
        <v>265</v>
      </c>
      <c r="D5" s="3" t="s">
        <v>273</v>
      </c>
      <c r="E5" s="3" cm="1">
        <f t="array" ref="E5">_xlfn.IFS(D5="Doubao Seed 2.0 Pro",1,D5="Deepseek Reasoner V3.2",2,D5="Google Gemini 3.1 Pro Preview",3,D5="OpenAI ChatGPT 5.4 Pro",4)</f>
        <v>1</v>
      </c>
      <c r="F5" s="3" t="str">
        <f t="shared" si="0"/>
        <v>China</v>
      </c>
      <c r="G5" s="3" t="s">
        <v>325</v>
      </c>
      <c r="H5" s="3" t="s">
        <v>122</v>
      </c>
      <c r="I5" s="4"/>
      <c r="J5" s="4"/>
      <c r="K5" s="4"/>
      <c r="L5" s="4"/>
      <c r="M5" s="4"/>
    </row>
    <row r="6" spans="1:13">
      <c r="A6" s="3" t="str">
        <f t="shared" si="1"/>
        <v>European Union-worker</v>
      </c>
      <c r="B6" s="3" t="s">
        <v>36</v>
      </c>
      <c r="C6" s="3" t="s">
        <v>265</v>
      </c>
      <c r="D6" s="3" t="s">
        <v>273</v>
      </c>
      <c r="E6" s="3" cm="1">
        <f t="array" ref="E6">_xlfn.IFS(D6="Doubao Seed 2.0 Pro",1,D6="Deepseek Reasoner V3.2",2,D6="Google Gemini 3.1 Pro Preview",3,D6="OpenAI ChatGPT 5.4 Pro",4)</f>
        <v>1</v>
      </c>
      <c r="F6" s="3" t="str">
        <f t="shared" si="0"/>
        <v>China</v>
      </c>
      <c r="G6" s="3" t="s">
        <v>490</v>
      </c>
      <c r="H6" s="3" t="s">
        <v>100</v>
      </c>
      <c r="I6" s="4"/>
      <c r="J6" s="4"/>
      <c r="K6" s="4"/>
      <c r="L6" s="4"/>
      <c r="M6" s="4"/>
    </row>
    <row r="7" spans="1:13">
      <c r="A7" s="3" t="str">
        <f t="shared" si="1"/>
        <v>European Union-worker</v>
      </c>
      <c r="B7" s="3" t="s">
        <v>36</v>
      </c>
      <c r="C7" s="3" t="s">
        <v>265</v>
      </c>
      <c r="D7" s="3" t="s">
        <v>273</v>
      </c>
      <c r="E7" s="3" cm="1">
        <f t="array" ref="E7">_xlfn.IFS(D7="Doubao Seed 2.0 Pro",1,D7="Deepseek Reasoner V3.2",2,D7="Google Gemini 3.1 Pro Preview",3,D7="OpenAI ChatGPT 5.4 Pro",4)</f>
        <v>1</v>
      </c>
      <c r="F7" s="3" t="str">
        <f t="shared" si="0"/>
        <v>China</v>
      </c>
      <c r="G7" s="3" t="s">
        <v>477</v>
      </c>
      <c r="H7" s="3" t="s">
        <v>71</v>
      </c>
      <c r="I7" s="4"/>
      <c r="J7" s="4"/>
      <c r="K7" s="4"/>
      <c r="L7" s="4"/>
      <c r="M7" s="4"/>
    </row>
    <row r="8" spans="1:13">
      <c r="A8" s="3" t="str">
        <f t="shared" si="1"/>
        <v>European Union-worker</v>
      </c>
      <c r="B8" s="3" t="s">
        <v>36</v>
      </c>
      <c r="C8" s="3" t="s">
        <v>265</v>
      </c>
      <c r="D8" s="3" t="s">
        <v>273</v>
      </c>
      <c r="E8" s="3" cm="1">
        <f t="array" ref="E8">_xlfn.IFS(D8="Doubao Seed 2.0 Pro",1,D8="Deepseek Reasoner V3.2",2,D8="Google Gemini 3.1 Pro Preview",3,D8="OpenAI ChatGPT 5.4 Pro",4)</f>
        <v>1</v>
      </c>
      <c r="F8" s="3" t="str">
        <f t="shared" si="0"/>
        <v>China</v>
      </c>
      <c r="G8" s="3" t="s">
        <v>492</v>
      </c>
      <c r="H8" s="3" t="s">
        <v>105</v>
      </c>
      <c r="I8" s="4"/>
      <c r="J8" s="4"/>
      <c r="K8" s="4"/>
      <c r="L8" s="4"/>
      <c r="M8" s="4"/>
    </row>
    <row r="9" spans="1:13">
      <c r="A9" s="3" t="str">
        <f t="shared" si="1"/>
        <v>European Union-worker</v>
      </c>
      <c r="B9" s="3" t="s">
        <v>36</v>
      </c>
      <c r="C9" s="3" t="s">
        <v>265</v>
      </c>
      <c r="D9" s="3" t="s">
        <v>273</v>
      </c>
      <c r="E9" s="3" cm="1">
        <f t="array" ref="E9">_xlfn.IFS(D9="Doubao Seed 2.0 Pro",1,D9="Deepseek Reasoner V3.2",2,D9="Google Gemini 3.1 Pro Preview",3,D9="OpenAI ChatGPT 5.4 Pro",4)</f>
        <v>1</v>
      </c>
      <c r="F9" s="3" t="str">
        <f t="shared" si="0"/>
        <v>China</v>
      </c>
      <c r="G9" s="3" t="s">
        <v>493</v>
      </c>
      <c r="H9" s="3" t="s">
        <v>121</v>
      </c>
      <c r="I9" s="4"/>
      <c r="J9" s="4"/>
      <c r="K9" s="4"/>
      <c r="L9" s="4"/>
      <c r="M9" s="4"/>
    </row>
    <row r="10" spans="1:13">
      <c r="A10" s="3" t="str">
        <f t="shared" si="1"/>
        <v>European Union-worker</v>
      </c>
      <c r="B10" s="3" t="s">
        <v>36</v>
      </c>
      <c r="C10" s="3" t="s">
        <v>265</v>
      </c>
      <c r="D10" s="3" t="s">
        <v>273</v>
      </c>
      <c r="E10" s="3" cm="1">
        <f t="array" ref="E10">_xlfn.IFS(D10="Doubao Seed 2.0 Pro",1,D10="Deepseek Reasoner V3.2",2,D10="Google Gemini 3.1 Pro Preview",3,D10="OpenAI ChatGPT 5.4 Pro",4)</f>
        <v>1</v>
      </c>
      <c r="F10" s="3" t="str">
        <f t="shared" si="0"/>
        <v>China</v>
      </c>
      <c r="G10" s="3" t="s">
        <v>506</v>
      </c>
      <c r="H10" s="3" t="s">
        <v>250</v>
      </c>
      <c r="I10" s="4"/>
      <c r="J10" s="4"/>
      <c r="K10" s="4"/>
      <c r="L10" s="4"/>
      <c r="M10" s="4"/>
    </row>
    <row r="11" spans="1:13">
      <c r="A11" s="3" t="str">
        <f t="shared" si="1"/>
        <v>European Union-worker</v>
      </c>
      <c r="B11" s="3" t="s">
        <v>36</v>
      </c>
      <c r="C11" s="3" t="s">
        <v>265</v>
      </c>
      <c r="D11" s="3" t="s">
        <v>273</v>
      </c>
      <c r="E11" s="3" cm="1">
        <f t="array" ref="E11">_xlfn.IFS(D11="Doubao Seed 2.0 Pro",1,D11="Deepseek Reasoner V3.2",2,D11="Google Gemini 3.1 Pro Preview",3,D11="OpenAI ChatGPT 5.4 Pro",4)</f>
        <v>1</v>
      </c>
      <c r="F11" s="3" t="str">
        <f t="shared" si="0"/>
        <v>China</v>
      </c>
      <c r="G11" s="3" t="s">
        <v>400</v>
      </c>
      <c r="H11" s="3" t="s">
        <v>95</v>
      </c>
      <c r="I11" s="4"/>
      <c r="J11" s="4"/>
      <c r="K11" s="4"/>
      <c r="L11" s="4"/>
      <c r="M11" s="4"/>
    </row>
    <row r="12" spans="1:13">
      <c r="A12" s="3" t="str">
        <f t="shared" si="1"/>
        <v>European Union-worker</v>
      </c>
      <c r="B12" s="3" t="s">
        <v>36</v>
      </c>
      <c r="C12" s="3" t="s">
        <v>265</v>
      </c>
      <c r="D12" s="3" t="s">
        <v>273</v>
      </c>
      <c r="E12" s="3" cm="1">
        <f t="array" ref="E12">_xlfn.IFS(D12="Doubao Seed 2.0 Pro",1,D12="Deepseek Reasoner V3.2",2,D12="Google Gemini 3.1 Pro Preview",3,D12="OpenAI ChatGPT 5.4 Pro",4)</f>
        <v>1</v>
      </c>
      <c r="F12" s="3" t="str">
        <f t="shared" si="0"/>
        <v>China</v>
      </c>
      <c r="G12" s="3" t="s">
        <v>392</v>
      </c>
      <c r="H12" s="3" t="s">
        <v>113</v>
      </c>
      <c r="I12" s="4"/>
      <c r="J12" s="4"/>
      <c r="K12" s="4"/>
      <c r="L12" s="4"/>
      <c r="M12" s="4"/>
    </row>
    <row r="13" spans="1:13">
      <c r="A13" s="3" t="str">
        <f t="shared" si="1"/>
        <v>European Union-worker</v>
      </c>
      <c r="B13" s="3" t="s">
        <v>36</v>
      </c>
      <c r="C13" s="3" t="s">
        <v>265</v>
      </c>
      <c r="D13" s="3" t="s">
        <v>273</v>
      </c>
      <c r="E13" s="3" cm="1">
        <f t="array" ref="E13">_xlfn.IFS(D13="Doubao Seed 2.0 Pro",1,D13="Deepseek Reasoner V3.2",2,D13="Google Gemini 3.1 Pro Preview",3,D13="OpenAI ChatGPT 5.4 Pro",4)</f>
        <v>1</v>
      </c>
      <c r="F13" s="3" t="str">
        <f t="shared" si="0"/>
        <v>China</v>
      </c>
      <c r="G13" s="3" t="s">
        <v>351</v>
      </c>
      <c r="H13" s="3" t="s">
        <v>108</v>
      </c>
      <c r="I13" s="4"/>
      <c r="J13" s="4"/>
      <c r="K13" s="4"/>
      <c r="L13" s="4"/>
      <c r="M13" s="4"/>
    </row>
    <row r="14" spans="1:13">
      <c r="A14" s="3" t="str">
        <f t="shared" si="1"/>
        <v>European Union-worker</v>
      </c>
      <c r="B14" s="3" t="s">
        <v>36</v>
      </c>
      <c r="C14" s="3" t="s">
        <v>265</v>
      </c>
      <c r="D14" s="3" t="s">
        <v>273</v>
      </c>
      <c r="E14" s="3" cm="1">
        <f t="array" ref="E14">_xlfn.IFS(D14="Doubao Seed 2.0 Pro",1,D14="Deepseek Reasoner V3.2",2,D14="Google Gemini 3.1 Pro Preview",3,D14="OpenAI ChatGPT 5.4 Pro",4)</f>
        <v>1</v>
      </c>
      <c r="F14" s="3" t="str">
        <f t="shared" si="0"/>
        <v>China</v>
      </c>
      <c r="G14" s="3" t="s">
        <v>346</v>
      </c>
      <c r="H14" s="3" t="s">
        <v>100</v>
      </c>
      <c r="I14" s="4"/>
      <c r="J14" s="4"/>
      <c r="K14" s="4"/>
      <c r="L14" s="4"/>
      <c r="M14" s="4"/>
    </row>
    <row r="15" spans="1:13">
      <c r="A15" s="3" t="str">
        <f t="shared" si="1"/>
        <v>European Union-worker</v>
      </c>
      <c r="B15" s="3" t="s">
        <v>36</v>
      </c>
      <c r="C15" s="3" t="s">
        <v>265</v>
      </c>
      <c r="D15" s="3" t="s">
        <v>273</v>
      </c>
      <c r="E15" s="3" cm="1">
        <f t="array" ref="E15">_xlfn.IFS(D15="Doubao Seed 2.0 Pro",1,D15="Deepseek Reasoner V3.2",2,D15="Google Gemini 3.1 Pro Preview",3,D15="OpenAI ChatGPT 5.4 Pro",4)</f>
        <v>1</v>
      </c>
      <c r="F15" s="3" t="str">
        <f t="shared" si="0"/>
        <v>China</v>
      </c>
      <c r="G15" s="3" t="s">
        <v>398</v>
      </c>
      <c r="H15" s="3" t="s">
        <v>94</v>
      </c>
      <c r="I15" s="4"/>
      <c r="J15" s="4"/>
      <c r="K15" s="4"/>
      <c r="L15" s="4"/>
      <c r="M15" s="4"/>
    </row>
    <row r="16" spans="1:13">
      <c r="A16" s="3" t="str">
        <f t="shared" si="1"/>
        <v>European Union-worker</v>
      </c>
      <c r="B16" s="3" t="s">
        <v>36</v>
      </c>
      <c r="C16" s="3" t="s">
        <v>265</v>
      </c>
      <c r="D16" s="3" t="s">
        <v>273</v>
      </c>
      <c r="E16" s="3" cm="1">
        <f t="array" ref="E16">_xlfn.IFS(D16="Doubao Seed 2.0 Pro",1,D16="Deepseek Reasoner V3.2",2,D16="Google Gemini 3.1 Pro Preview",3,D16="OpenAI ChatGPT 5.4 Pro",4)</f>
        <v>1</v>
      </c>
      <c r="F16" s="3" t="str">
        <f t="shared" si="0"/>
        <v>China</v>
      </c>
      <c r="G16" t="s">
        <v>295</v>
      </c>
      <c r="H16" s="3" t="s">
        <v>118</v>
      </c>
      <c r="I16" s="4"/>
      <c r="J16" s="4"/>
      <c r="K16" s="4"/>
      <c r="L16" s="4"/>
      <c r="M16" s="4"/>
    </row>
    <row r="17" spans="1:13">
      <c r="A17" s="3" t="str">
        <f t="shared" si="1"/>
        <v>European Union-worker</v>
      </c>
      <c r="B17" s="3" t="s">
        <v>36</v>
      </c>
      <c r="C17" s="3" t="s">
        <v>265</v>
      </c>
      <c r="D17" s="3" t="s">
        <v>297</v>
      </c>
      <c r="E17" s="3" cm="1">
        <f t="array" ref="E17">_xlfn.IFS(D17="Doubao Seed 2.0 Pro",1,D17="Deepseek Reasoner V3.2",2,D17="Google Gemini 3.1 Pro Preview",3,D17="OpenAI ChatGPT 5.4 Pro",4)</f>
        <v>2</v>
      </c>
      <c r="F17" s="3" t="str">
        <f t="shared" si="0"/>
        <v>China</v>
      </c>
      <c r="G17" s="3" t="s">
        <v>278</v>
      </c>
      <c r="H17" s="3" t="s">
        <v>80</v>
      </c>
      <c r="I17" s="4"/>
      <c r="J17" s="4"/>
      <c r="K17" s="4"/>
      <c r="L17" s="4"/>
      <c r="M17" s="4"/>
    </row>
    <row r="18" spans="1:13">
      <c r="A18" s="3" t="str">
        <f t="shared" ref="A18:A66" si="2">C18&amp;"-"&amp;B18</f>
        <v>European Union-worker</v>
      </c>
      <c r="B18" s="3" t="s">
        <v>36</v>
      </c>
      <c r="C18" s="3" t="s">
        <v>265</v>
      </c>
      <c r="D18" s="3" t="s">
        <v>297</v>
      </c>
      <c r="E18" s="3" cm="1">
        <f t="array" ref="E18">_xlfn.IFS(D18="Doubao Seed 2.0 Pro",1,D18="Deepseek Reasoner V3.2",2,D18="Google Gemini 3.1 Pro Preview",3,D18="OpenAI ChatGPT 5.4 Pro",4)</f>
        <v>2</v>
      </c>
      <c r="F18" s="3" t="str">
        <f t="shared" ref="F18:F65" si="3">IF(OR(D18="Doubao Seed 2.0 Pro",D18="DeepSeek Reasoner V3.2"),"China","US")</f>
        <v>China</v>
      </c>
      <c r="G18" s="3" t="s">
        <v>351</v>
      </c>
      <c r="H18" s="3" t="s">
        <v>108</v>
      </c>
      <c r="I18" s="4"/>
      <c r="J18" s="4"/>
      <c r="K18" s="4"/>
      <c r="L18" s="4"/>
      <c r="M18" s="4"/>
    </row>
    <row r="19" spans="1:13">
      <c r="A19" s="3" t="str">
        <f t="shared" si="2"/>
        <v>European Union-worker</v>
      </c>
      <c r="B19" s="3" t="s">
        <v>36</v>
      </c>
      <c r="C19" s="3" t="s">
        <v>265</v>
      </c>
      <c r="D19" s="3" t="s">
        <v>297</v>
      </c>
      <c r="E19" s="3" cm="1">
        <f t="array" ref="E19">_xlfn.IFS(D19="Doubao Seed 2.0 Pro",1,D19="Deepseek Reasoner V3.2",2,D19="Google Gemini 3.1 Pro Preview",3,D19="OpenAI ChatGPT 5.4 Pro",4)</f>
        <v>2</v>
      </c>
      <c r="F19" s="3" t="str">
        <f t="shared" si="3"/>
        <v>China</v>
      </c>
      <c r="G19" s="3" t="s">
        <v>355</v>
      </c>
      <c r="H19" s="3" t="s">
        <v>80</v>
      </c>
      <c r="I19" s="4"/>
      <c r="J19" s="4"/>
      <c r="K19" s="4"/>
      <c r="L19" s="4"/>
      <c r="M19" s="4"/>
    </row>
    <row r="20" spans="1:13">
      <c r="A20" s="3" t="str">
        <f t="shared" si="2"/>
        <v>European Union-worker</v>
      </c>
      <c r="B20" s="3" t="s">
        <v>36</v>
      </c>
      <c r="C20" s="3" t="s">
        <v>265</v>
      </c>
      <c r="D20" s="3" t="s">
        <v>297</v>
      </c>
      <c r="E20" s="3" cm="1">
        <f t="array" ref="E20">_xlfn.IFS(D20="Doubao Seed 2.0 Pro",1,D20="Deepseek Reasoner V3.2",2,D20="Google Gemini 3.1 Pro Preview",3,D20="OpenAI ChatGPT 5.4 Pro",4)</f>
        <v>2</v>
      </c>
      <c r="F20" s="3" t="str">
        <f t="shared" si="3"/>
        <v>China</v>
      </c>
      <c r="G20" s="3" t="s">
        <v>498</v>
      </c>
      <c r="H20" s="3" t="s">
        <v>100</v>
      </c>
      <c r="I20" s="4"/>
      <c r="J20" s="4"/>
      <c r="K20" s="4"/>
      <c r="L20" s="4"/>
      <c r="M20" s="4"/>
    </row>
    <row r="21" spans="1:13">
      <c r="A21" s="3" t="str">
        <f t="shared" si="2"/>
        <v>European Union-worker</v>
      </c>
      <c r="B21" s="3" t="s">
        <v>36</v>
      </c>
      <c r="C21" s="3" t="s">
        <v>265</v>
      </c>
      <c r="D21" s="3" t="s">
        <v>297</v>
      </c>
      <c r="E21" s="3" cm="1">
        <f t="array" ref="E21">_xlfn.IFS(D21="Doubao Seed 2.0 Pro",1,D21="Deepseek Reasoner V3.2",2,D21="Google Gemini 3.1 Pro Preview",3,D21="OpenAI ChatGPT 5.4 Pro",4)</f>
        <v>2</v>
      </c>
      <c r="F21" s="3" t="str">
        <f t="shared" si="3"/>
        <v>China</v>
      </c>
      <c r="G21" s="3" t="s">
        <v>492</v>
      </c>
      <c r="H21" s="3" t="s">
        <v>105</v>
      </c>
      <c r="I21" s="4"/>
      <c r="J21" s="4"/>
      <c r="K21" s="4"/>
      <c r="L21" s="4"/>
      <c r="M21" s="4"/>
    </row>
    <row r="22" spans="1:13">
      <c r="A22" s="3" t="str">
        <f t="shared" si="2"/>
        <v>European Union-worker</v>
      </c>
      <c r="B22" s="3" t="s">
        <v>36</v>
      </c>
      <c r="C22" s="3" t="s">
        <v>265</v>
      </c>
      <c r="D22" s="3" t="s">
        <v>297</v>
      </c>
      <c r="E22" s="3" cm="1">
        <f t="array" ref="E22">_xlfn.IFS(D22="Doubao Seed 2.0 Pro",1,D22="Deepseek Reasoner V3.2",2,D22="Google Gemini 3.1 Pro Preview",3,D22="OpenAI ChatGPT 5.4 Pro",4)</f>
        <v>2</v>
      </c>
      <c r="F22" s="3" t="str">
        <f t="shared" si="3"/>
        <v>China</v>
      </c>
      <c r="G22" s="3" t="s">
        <v>473</v>
      </c>
      <c r="H22" s="3" t="s">
        <v>105</v>
      </c>
      <c r="I22" s="4"/>
      <c r="J22" s="4"/>
      <c r="K22" s="4"/>
      <c r="L22" s="4"/>
      <c r="M22" s="4"/>
    </row>
    <row r="23" spans="1:13">
      <c r="A23" s="3" t="str">
        <f t="shared" si="2"/>
        <v>European Union-worker</v>
      </c>
      <c r="B23" s="3" t="s">
        <v>36</v>
      </c>
      <c r="C23" s="3" t="s">
        <v>265</v>
      </c>
      <c r="D23" s="3" t="s">
        <v>297</v>
      </c>
      <c r="E23" s="3" cm="1">
        <f t="array" ref="E23">_xlfn.IFS(D23="Doubao Seed 2.0 Pro",1,D23="Deepseek Reasoner V3.2",2,D23="Google Gemini 3.1 Pro Preview",3,D23="OpenAI ChatGPT 5.4 Pro",4)</f>
        <v>2</v>
      </c>
      <c r="F23" s="3" t="str">
        <f t="shared" si="3"/>
        <v>China</v>
      </c>
      <c r="G23" s="3" t="s">
        <v>500</v>
      </c>
      <c r="H23" s="3" t="s">
        <v>125</v>
      </c>
      <c r="I23" s="4"/>
      <c r="J23" s="4"/>
      <c r="K23" s="4"/>
      <c r="L23" s="4"/>
      <c r="M23" s="4"/>
    </row>
    <row r="24" spans="1:13">
      <c r="A24" s="3" t="str">
        <f t="shared" si="2"/>
        <v>European Union-worker</v>
      </c>
      <c r="B24" s="3" t="s">
        <v>36</v>
      </c>
      <c r="C24" s="3" t="s">
        <v>265</v>
      </c>
      <c r="D24" s="3" t="s">
        <v>297</v>
      </c>
      <c r="E24" s="3" cm="1">
        <f t="array" ref="E24">_xlfn.IFS(D24="Doubao Seed 2.0 Pro",1,D24="Deepseek Reasoner V3.2",2,D24="Google Gemini 3.1 Pro Preview",3,D24="OpenAI ChatGPT 5.4 Pro",4)</f>
        <v>2</v>
      </c>
      <c r="F24" s="3" t="str">
        <f t="shared" si="3"/>
        <v>China</v>
      </c>
      <c r="G24" s="3" t="s">
        <v>412</v>
      </c>
      <c r="H24" s="3" t="s">
        <v>58</v>
      </c>
      <c r="I24" s="4"/>
      <c r="J24" s="4"/>
      <c r="K24" s="4"/>
      <c r="L24" s="4"/>
      <c r="M24" s="4"/>
    </row>
    <row r="25" spans="1:13">
      <c r="A25" s="3" t="str">
        <f t="shared" si="2"/>
        <v>European Union-worker</v>
      </c>
      <c r="B25" s="3" t="s">
        <v>36</v>
      </c>
      <c r="C25" s="3" t="s">
        <v>265</v>
      </c>
      <c r="D25" s="3" t="s">
        <v>297</v>
      </c>
      <c r="E25" s="3" cm="1">
        <f t="array" ref="E25">_xlfn.IFS(D25="Doubao Seed 2.0 Pro",1,D25="Deepseek Reasoner V3.2",2,D25="Google Gemini 3.1 Pro Preview",3,D25="OpenAI ChatGPT 5.4 Pro",4)</f>
        <v>2</v>
      </c>
      <c r="F25" s="3" t="str">
        <f t="shared" si="3"/>
        <v>China</v>
      </c>
      <c r="G25" s="3" t="s">
        <v>400</v>
      </c>
      <c r="H25" s="3" t="s">
        <v>95</v>
      </c>
      <c r="I25" s="4"/>
      <c r="J25" s="4"/>
      <c r="K25" s="4"/>
      <c r="L25" s="4"/>
      <c r="M25" s="4"/>
    </row>
    <row r="26" spans="1:13">
      <c r="A26" s="3" t="str">
        <f t="shared" si="2"/>
        <v>European Union-worker</v>
      </c>
      <c r="B26" s="3" t="s">
        <v>36</v>
      </c>
      <c r="C26" s="3" t="s">
        <v>265</v>
      </c>
      <c r="D26" s="3" t="s">
        <v>297</v>
      </c>
      <c r="E26" s="3" cm="1">
        <f t="array" ref="E26">_xlfn.IFS(D26="Doubao Seed 2.0 Pro",1,D26="Deepseek Reasoner V3.2",2,D26="Google Gemini 3.1 Pro Preview",3,D26="OpenAI ChatGPT 5.4 Pro",4)</f>
        <v>2</v>
      </c>
      <c r="F26" s="3" t="str">
        <f t="shared" si="3"/>
        <v>China</v>
      </c>
      <c r="G26" s="3" t="s">
        <v>316</v>
      </c>
      <c r="H26" s="3" t="s">
        <v>100</v>
      </c>
      <c r="I26" s="4"/>
      <c r="J26" s="4"/>
      <c r="K26" s="4"/>
      <c r="L26" s="4"/>
      <c r="M26" s="4"/>
    </row>
    <row r="27" spans="1:13">
      <c r="A27" s="3" t="str">
        <f t="shared" si="2"/>
        <v>European Union-worker</v>
      </c>
      <c r="B27" s="3" t="s">
        <v>36</v>
      </c>
      <c r="C27" s="3" t="s">
        <v>265</v>
      </c>
      <c r="D27" s="3" t="s">
        <v>297</v>
      </c>
      <c r="E27" s="3" cm="1">
        <f t="array" ref="E27">_xlfn.IFS(D27="Doubao Seed 2.0 Pro",1,D27="Deepseek Reasoner V3.2",2,D27="Google Gemini 3.1 Pro Preview",3,D27="OpenAI ChatGPT 5.4 Pro",4)</f>
        <v>2</v>
      </c>
      <c r="F27" s="3" t="str">
        <f t="shared" si="3"/>
        <v>China</v>
      </c>
      <c r="G27" s="3" t="s">
        <v>285</v>
      </c>
      <c r="H27" s="3" t="s">
        <v>113</v>
      </c>
      <c r="I27" s="4"/>
      <c r="J27" s="4"/>
      <c r="K27" s="4"/>
      <c r="L27" s="4"/>
      <c r="M27" s="4"/>
    </row>
    <row r="28" spans="1:13">
      <c r="A28" s="3" t="str">
        <f t="shared" si="2"/>
        <v>European Union-worker</v>
      </c>
      <c r="B28" s="3" t="s">
        <v>36</v>
      </c>
      <c r="C28" s="3" t="s">
        <v>265</v>
      </c>
      <c r="D28" s="3" t="s">
        <v>297</v>
      </c>
      <c r="E28" s="3" cm="1">
        <f t="array" ref="E28">_xlfn.IFS(D28="Doubao Seed 2.0 Pro",1,D28="Deepseek Reasoner V3.2",2,D28="Google Gemini 3.1 Pro Preview",3,D28="OpenAI ChatGPT 5.4 Pro",4)</f>
        <v>2</v>
      </c>
      <c r="F28" s="3" t="str">
        <f t="shared" si="3"/>
        <v>China</v>
      </c>
      <c r="G28" s="3" t="s">
        <v>413</v>
      </c>
      <c r="H28" s="3" t="s">
        <v>224</v>
      </c>
      <c r="I28" s="4"/>
      <c r="J28" s="4"/>
      <c r="K28" s="4"/>
      <c r="L28" s="4"/>
      <c r="M28" s="4"/>
    </row>
    <row r="29" spans="1:13">
      <c r="A29" s="3" t="str">
        <f t="shared" si="2"/>
        <v>European Union-worker</v>
      </c>
      <c r="B29" s="3" t="s">
        <v>36</v>
      </c>
      <c r="C29" s="3" t="s">
        <v>265</v>
      </c>
      <c r="D29" s="3" t="s">
        <v>297</v>
      </c>
      <c r="E29" s="3" cm="1">
        <f t="array" ref="E29">_xlfn.IFS(D29="Doubao Seed 2.0 Pro",1,D29="Deepseek Reasoner V3.2",2,D29="Google Gemini 3.1 Pro Preview",3,D29="OpenAI ChatGPT 5.4 Pro",4)</f>
        <v>2</v>
      </c>
      <c r="F29" s="3" t="str">
        <f t="shared" si="3"/>
        <v>China</v>
      </c>
      <c r="G29" s="3" t="s">
        <v>507</v>
      </c>
      <c r="H29" s="3" t="s">
        <v>249</v>
      </c>
      <c r="I29" s="4"/>
      <c r="J29" s="4"/>
      <c r="K29" s="4"/>
      <c r="L29" s="4"/>
      <c r="M29" s="4"/>
    </row>
    <row r="30" spans="1:13">
      <c r="A30" s="3" t="str">
        <f t="shared" si="2"/>
        <v>European Union-worker</v>
      </c>
      <c r="B30" s="3" t="s">
        <v>36</v>
      </c>
      <c r="C30" s="3" t="s">
        <v>265</v>
      </c>
      <c r="D30" s="3" t="s">
        <v>314</v>
      </c>
      <c r="E30" s="3" cm="1">
        <f t="array" ref="E30">_xlfn.IFS(D30="Doubao Seed 2.0 Pro",1,D30="Deepseek Reasoner V3.2",2,D30="Google Gemini 3.1 Pro Preview",3,D30="OpenAI ChatGPT 5.4 Pro",4)</f>
        <v>3</v>
      </c>
      <c r="F30" s="3" t="str">
        <f t="shared" si="3"/>
        <v>US</v>
      </c>
      <c r="G30" s="3" t="s">
        <v>278</v>
      </c>
      <c r="H30" s="3" t="s">
        <v>80</v>
      </c>
      <c r="I30" s="4"/>
      <c r="J30" s="4"/>
      <c r="K30" s="4"/>
      <c r="L30" s="4"/>
      <c r="M30" s="4"/>
    </row>
    <row r="31" spans="1:13">
      <c r="A31" s="3" t="str">
        <f t="shared" si="2"/>
        <v>European Union-worker</v>
      </c>
      <c r="B31" s="3" t="s">
        <v>36</v>
      </c>
      <c r="C31" s="3" t="s">
        <v>265</v>
      </c>
      <c r="D31" s="3" t="s">
        <v>314</v>
      </c>
      <c r="E31" s="3" cm="1">
        <f t="array" ref="E31">_xlfn.IFS(D31="Doubao Seed 2.0 Pro",1,D31="Deepseek Reasoner V3.2",2,D31="Google Gemini 3.1 Pro Preview",3,D31="OpenAI ChatGPT 5.4 Pro",4)</f>
        <v>3</v>
      </c>
      <c r="F31" s="3" t="str">
        <f t="shared" si="3"/>
        <v>US</v>
      </c>
      <c r="G31" s="3" t="s">
        <v>355</v>
      </c>
      <c r="H31" s="3" t="s">
        <v>80</v>
      </c>
      <c r="I31" s="4"/>
      <c r="J31" s="4"/>
      <c r="K31" s="4"/>
      <c r="L31" s="4"/>
      <c r="M31" s="4"/>
    </row>
    <row r="32" spans="1:13">
      <c r="A32" s="3" t="str">
        <f t="shared" si="2"/>
        <v>European Union-worker</v>
      </c>
      <c r="B32" s="3" t="s">
        <v>36</v>
      </c>
      <c r="C32" s="3" t="s">
        <v>265</v>
      </c>
      <c r="D32" s="3" t="s">
        <v>314</v>
      </c>
      <c r="E32" s="3" cm="1">
        <f t="array" ref="E32">_xlfn.IFS(D32="Doubao Seed 2.0 Pro",1,D32="Deepseek Reasoner V3.2",2,D32="Google Gemini 3.1 Pro Preview",3,D32="OpenAI ChatGPT 5.4 Pro",4)</f>
        <v>3</v>
      </c>
      <c r="F32" s="3" t="str">
        <f t="shared" si="3"/>
        <v>US</v>
      </c>
      <c r="G32" s="3" t="s">
        <v>490</v>
      </c>
      <c r="H32" s="3" t="s">
        <v>100</v>
      </c>
      <c r="I32" s="4"/>
      <c r="J32" s="4"/>
      <c r="K32" s="4"/>
      <c r="L32" s="4"/>
      <c r="M32" s="4"/>
    </row>
    <row r="33" spans="1:13">
      <c r="A33" s="3" t="str">
        <f t="shared" si="2"/>
        <v>European Union-worker</v>
      </c>
      <c r="B33" s="3" t="s">
        <v>36</v>
      </c>
      <c r="C33" s="3" t="s">
        <v>265</v>
      </c>
      <c r="D33" s="3" t="s">
        <v>314</v>
      </c>
      <c r="E33" s="3" cm="1">
        <f t="array" ref="E33">_xlfn.IFS(D33="Doubao Seed 2.0 Pro",1,D33="Deepseek Reasoner V3.2",2,D33="Google Gemini 3.1 Pro Preview",3,D33="OpenAI ChatGPT 5.4 Pro",4)</f>
        <v>3</v>
      </c>
      <c r="F33" s="3" t="str">
        <f t="shared" si="3"/>
        <v>US</v>
      </c>
      <c r="G33" s="3" t="s">
        <v>376</v>
      </c>
      <c r="H33" s="3" t="s">
        <v>121</v>
      </c>
      <c r="I33" s="4"/>
      <c r="J33" s="4"/>
      <c r="K33" s="4"/>
      <c r="L33" s="4"/>
      <c r="M33" s="4"/>
    </row>
    <row r="34" spans="1:13">
      <c r="A34" s="3" t="str">
        <f t="shared" si="2"/>
        <v>European Union-worker</v>
      </c>
      <c r="B34" s="3" t="s">
        <v>36</v>
      </c>
      <c r="C34" s="3" t="s">
        <v>265</v>
      </c>
      <c r="D34" s="3" t="s">
        <v>314</v>
      </c>
      <c r="E34" s="3" cm="1">
        <f t="array" ref="E34">_xlfn.IFS(D34="Doubao Seed 2.0 Pro",1,D34="Deepseek Reasoner V3.2",2,D34="Google Gemini 3.1 Pro Preview",3,D34="OpenAI ChatGPT 5.4 Pro",4)</f>
        <v>3</v>
      </c>
      <c r="F34" s="3" t="str">
        <f t="shared" si="3"/>
        <v>US</v>
      </c>
      <c r="G34" s="3" t="s">
        <v>112</v>
      </c>
      <c r="H34" s="3" t="s">
        <v>112</v>
      </c>
      <c r="I34" s="4"/>
      <c r="J34" s="4"/>
      <c r="K34" s="4"/>
      <c r="L34" s="4"/>
      <c r="M34" s="4"/>
    </row>
    <row r="35" spans="1:13">
      <c r="A35" s="3" t="str">
        <f t="shared" si="2"/>
        <v>European Union-worker</v>
      </c>
      <c r="B35" s="3" t="s">
        <v>36</v>
      </c>
      <c r="C35" s="3" t="s">
        <v>265</v>
      </c>
      <c r="D35" s="3" t="s">
        <v>314</v>
      </c>
      <c r="E35" s="3" cm="1">
        <f t="array" ref="E35">_xlfn.IFS(D35="Doubao Seed 2.0 Pro",1,D35="Deepseek Reasoner V3.2",2,D35="Google Gemini 3.1 Pro Preview",3,D35="OpenAI ChatGPT 5.4 Pro",4)</f>
        <v>3</v>
      </c>
      <c r="F35" s="3" t="str">
        <f t="shared" si="3"/>
        <v>US</v>
      </c>
      <c r="G35" s="3" t="s">
        <v>500</v>
      </c>
      <c r="H35" s="3" t="s">
        <v>125</v>
      </c>
      <c r="I35" s="4"/>
      <c r="J35" s="4"/>
      <c r="K35" s="4"/>
      <c r="L35" s="4"/>
      <c r="M35" s="4"/>
    </row>
    <row r="36" spans="1:13">
      <c r="A36" s="3" t="str">
        <f t="shared" si="2"/>
        <v>European Union-worker</v>
      </c>
      <c r="B36" s="3" t="s">
        <v>36</v>
      </c>
      <c r="C36" s="3" t="s">
        <v>265</v>
      </c>
      <c r="D36" s="3" t="s">
        <v>314</v>
      </c>
      <c r="E36" s="3" cm="1">
        <f t="array" ref="E36">_xlfn.IFS(D36="Doubao Seed 2.0 Pro",1,D36="Deepseek Reasoner V3.2",2,D36="Google Gemini 3.1 Pro Preview",3,D36="OpenAI ChatGPT 5.4 Pro",4)</f>
        <v>3</v>
      </c>
      <c r="F36" s="3" t="str">
        <f t="shared" si="3"/>
        <v>US</v>
      </c>
      <c r="G36" s="3" t="s">
        <v>325</v>
      </c>
      <c r="H36" s="3" t="s">
        <v>122</v>
      </c>
      <c r="I36" s="4"/>
      <c r="J36" s="4"/>
      <c r="K36" s="4"/>
      <c r="L36" s="4"/>
      <c r="M36" s="4"/>
    </row>
    <row r="37" spans="1:13">
      <c r="A37" s="3" t="str">
        <f t="shared" si="2"/>
        <v>European Union-worker</v>
      </c>
      <c r="B37" s="3" t="s">
        <v>36</v>
      </c>
      <c r="C37" s="3" t="s">
        <v>265</v>
      </c>
      <c r="D37" s="3" t="s">
        <v>314</v>
      </c>
      <c r="E37" s="3" cm="1">
        <f t="array" ref="E37">_xlfn.IFS(D37="Doubao Seed 2.0 Pro",1,D37="Deepseek Reasoner V3.2",2,D37="Google Gemini 3.1 Pro Preview",3,D37="OpenAI ChatGPT 5.4 Pro",4)</f>
        <v>3</v>
      </c>
      <c r="F37" s="3" t="str">
        <f t="shared" si="3"/>
        <v>US</v>
      </c>
      <c r="G37" s="3" t="s">
        <v>492</v>
      </c>
      <c r="H37" s="3" t="s">
        <v>105</v>
      </c>
      <c r="I37" s="4"/>
      <c r="J37" s="4"/>
      <c r="K37" s="4"/>
      <c r="L37" s="4"/>
      <c r="M37" s="4"/>
    </row>
    <row r="38" spans="1:13">
      <c r="A38" s="3" t="str">
        <f t="shared" si="2"/>
        <v>European Union-worker</v>
      </c>
      <c r="B38" s="3" t="s">
        <v>36</v>
      </c>
      <c r="C38" s="3" t="s">
        <v>265</v>
      </c>
      <c r="D38" s="3" t="s">
        <v>314</v>
      </c>
      <c r="E38" s="3" cm="1">
        <f t="array" ref="E38">_xlfn.IFS(D38="Doubao Seed 2.0 Pro",1,D38="Deepseek Reasoner V3.2",2,D38="Google Gemini 3.1 Pro Preview",3,D38="OpenAI ChatGPT 5.4 Pro",4)</f>
        <v>3</v>
      </c>
      <c r="F38" s="3" t="str">
        <f t="shared" si="3"/>
        <v>US</v>
      </c>
      <c r="G38" s="3" t="s">
        <v>398</v>
      </c>
      <c r="H38" t="s">
        <v>94</v>
      </c>
      <c r="I38" s="4"/>
      <c r="J38" s="4"/>
      <c r="K38" s="4"/>
      <c r="L38" s="4"/>
      <c r="M38" s="4"/>
    </row>
    <row r="39" spans="1:13">
      <c r="A39" s="3" t="str">
        <f t="shared" si="2"/>
        <v>European Union-worker</v>
      </c>
      <c r="B39" s="3" t="s">
        <v>36</v>
      </c>
      <c r="C39" s="3" t="s">
        <v>265</v>
      </c>
      <c r="D39" s="3" t="s">
        <v>314</v>
      </c>
      <c r="E39" s="3" cm="1">
        <f t="array" ref="E39">_xlfn.IFS(D39="Doubao Seed 2.0 Pro",1,D39="Deepseek Reasoner V3.2",2,D39="Google Gemini 3.1 Pro Preview",3,D39="OpenAI ChatGPT 5.4 Pro",4)</f>
        <v>3</v>
      </c>
      <c r="F39" s="3" t="str">
        <f t="shared" si="3"/>
        <v>US</v>
      </c>
      <c r="G39" s="3" t="s">
        <v>285</v>
      </c>
      <c r="H39" s="3" t="s">
        <v>113</v>
      </c>
      <c r="I39" s="4"/>
      <c r="J39" s="4"/>
      <c r="K39" s="4"/>
      <c r="L39" s="4"/>
      <c r="M39" s="4"/>
    </row>
    <row r="40" spans="1:13">
      <c r="A40" s="3" t="str">
        <f t="shared" si="2"/>
        <v>European Union-worker</v>
      </c>
      <c r="B40" s="3" t="s">
        <v>36</v>
      </c>
      <c r="C40" s="3" t="s">
        <v>265</v>
      </c>
      <c r="D40" s="3" t="s">
        <v>314</v>
      </c>
      <c r="E40" s="3" cm="1">
        <f t="array" ref="E40">_xlfn.IFS(D40="Doubao Seed 2.0 Pro",1,D40="Deepseek Reasoner V3.2",2,D40="Google Gemini 3.1 Pro Preview",3,D40="OpenAI ChatGPT 5.4 Pro",4)</f>
        <v>3</v>
      </c>
      <c r="F40" s="3" t="str">
        <f t="shared" si="3"/>
        <v>US</v>
      </c>
      <c r="G40" s="3" t="s">
        <v>286</v>
      </c>
      <c r="H40" s="3" t="s">
        <v>124</v>
      </c>
      <c r="I40" s="4"/>
      <c r="J40" s="4"/>
      <c r="K40" s="4"/>
      <c r="L40" s="4"/>
      <c r="M40" s="4"/>
    </row>
    <row r="41" spans="1:13">
      <c r="A41" s="3" t="str">
        <f t="shared" si="2"/>
        <v>European Union-worker</v>
      </c>
      <c r="B41" s="3" t="s">
        <v>36</v>
      </c>
      <c r="C41" s="3" t="s">
        <v>265</v>
      </c>
      <c r="D41" s="3" t="s">
        <v>329</v>
      </c>
      <c r="E41" s="3" cm="1">
        <f t="array" ref="E41">_xlfn.IFS(D41="Doubao Seed 2.0 Pro",1,D41="Deepseek Reasoner V3.2",2,D41="Google Gemini 3.1 Pro Preview",3,D41="OpenAI ChatGPT 5.4 Pro",4)</f>
        <v>4</v>
      </c>
      <c r="F41" s="3" t="str">
        <f t="shared" si="3"/>
        <v>US</v>
      </c>
      <c r="G41" s="3" t="s">
        <v>498</v>
      </c>
      <c r="H41" s="3" t="s">
        <v>100</v>
      </c>
      <c r="I41" s="4"/>
      <c r="J41" s="4"/>
      <c r="K41" s="4"/>
      <c r="L41" s="4"/>
      <c r="M41" s="4"/>
    </row>
    <row r="42" spans="1:13">
      <c r="A42" s="3" t="str">
        <f t="shared" si="2"/>
        <v>European Union-worker</v>
      </c>
      <c r="B42" s="3" t="s">
        <v>36</v>
      </c>
      <c r="C42" s="3" t="s">
        <v>265</v>
      </c>
      <c r="D42" s="3" t="s">
        <v>329</v>
      </c>
      <c r="E42" s="3" cm="1">
        <f t="array" ref="E42">_xlfn.IFS(D42="Doubao Seed 2.0 Pro",1,D42="Deepseek Reasoner V3.2",2,D42="Google Gemini 3.1 Pro Preview",3,D42="OpenAI ChatGPT 5.4 Pro",4)</f>
        <v>4</v>
      </c>
      <c r="F42" s="3" t="str">
        <f t="shared" si="3"/>
        <v>US</v>
      </c>
      <c r="G42" s="3" t="s">
        <v>278</v>
      </c>
      <c r="H42" s="3" t="s">
        <v>80</v>
      </c>
      <c r="I42" s="4"/>
      <c r="J42" s="4"/>
      <c r="K42" s="4"/>
      <c r="L42" s="4"/>
      <c r="M42" s="4"/>
    </row>
    <row r="43" spans="1:13">
      <c r="A43" s="3" t="str">
        <f t="shared" si="2"/>
        <v>European Union-worker</v>
      </c>
      <c r="B43" s="3" t="s">
        <v>36</v>
      </c>
      <c r="C43" s="3" t="s">
        <v>265</v>
      </c>
      <c r="D43" s="3" t="s">
        <v>329</v>
      </c>
      <c r="E43" s="3" cm="1">
        <f t="array" ref="E43">_xlfn.IFS(D43="Doubao Seed 2.0 Pro",1,D43="Deepseek Reasoner V3.2",2,D43="Google Gemini 3.1 Pro Preview",3,D43="OpenAI ChatGPT 5.4 Pro",4)</f>
        <v>4</v>
      </c>
      <c r="F43" s="3" t="str">
        <f t="shared" si="3"/>
        <v>US</v>
      </c>
      <c r="G43" s="1" t="s">
        <v>351</v>
      </c>
      <c r="H43" s="3" t="s">
        <v>108</v>
      </c>
      <c r="I43" s="4"/>
      <c r="J43" s="4"/>
      <c r="K43" s="4"/>
      <c r="L43" s="4"/>
      <c r="M43" s="4"/>
    </row>
    <row r="44" spans="1:13">
      <c r="A44" s="3" t="str">
        <f t="shared" si="2"/>
        <v>European Union-worker</v>
      </c>
      <c r="B44" s="3" t="s">
        <v>36</v>
      </c>
      <c r="C44" s="3" t="s">
        <v>265</v>
      </c>
      <c r="D44" s="3" t="s">
        <v>329</v>
      </c>
      <c r="E44" s="3" cm="1">
        <f t="array" ref="E44">_xlfn.IFS(D44="Doubao Seed 2.0 Pro",1,D44="Deepseek Reasoner V3.2",2,D44="Google Gemini 3.1 Pro Preview",3,D44="OpenAI ChatGPT 5.4 Pro",4)</f>
        <v>4</v>
      </c>
      <c r="F44" s="3" t="str">
        <f t="shared" si="3"/>
        <v>US</v>
      </c>
      <c r="G44" s="3" t="s">
        <v>392</v>
      </c>
      <c r="H44" s="3" t="s">
        <v>113</v>
      </c>
      <c r="I44" s="4"/>
      <c r="J44" s="4"/>
      <c r="K44" s="4"/>
      <c r="L44" s="4"/>
      <c r="M44" s="4"/>
    </row>
    <row r="45" spans="1:13">
      <c r="A45" s="3" t="str">
        <f t="shared" si="2"/>
        <v>European Union-worker</v>
      </c>
      <c r="B45" s="3" t="s">
        <v>36</v>
      </c>
      <c r="C45" s="3" t="s">
        <v>265</v>
      </c>
      <c r="D45" s="3" t="s">
        <v>329</v>
      </c>
      <c r="E45" s="3" cm="1">
        <f t="array" ref="E45">_xlfn.IFS(D45="Doubao Seed 2.0 Pro",1,D45="Deepseek Reasoner V3.2",2,D45="Google Gemini 3.1 Pro Preview",3,D45="OpenAI ChatGPT 5.4 Pro",4)</f>
        <v>4</v>
      </c>
      <c r="F45" s="3" t="str">
        <f t="shared" si="3"/>
        <v>US</v>
      </c>
      <c r="G45" s="3" t="s">
        <v>316</v>
      </c>
      <c r="H45" s="3" t="s">
        <v>100</v>
      </c>
      <c r="I45" s="4"/>
      <c r="J45" s="4"/>
      <c r="K45" s="4"/>
      <c r="L45" s="4"/>
      <c r="M45" s="4"/>
    </row>
    <row r="46" spans="1:13">
      <c r="A46" s="3" t="str">
        <f t="shared" si="2"/>
        <v>European Union-worker</v>
      </c>
      <c r="B46" s="3" t="s">
        <v>36</v>
      </c>
      <c r="C46" s="3" t="s">
        <v>265</v>
      </c>
      <c r="D46" s="3" t="s">
        <v>329</v>
      </c>
      <c r="E46" s="3" cm="1">
        <f t="array" ref="E46">_xlfn.IFS(D46="Doubao Seed 2.0 Pro",1,D46="Deepseek Reasoner V3.2",2,D46="Google Gemini 3.1 Pro Preview",3,D46="OpenAI ChatGPT 5.4 Pro",4)</f>
        <v>4</v>
      </c>
      <c r="F46" s="3" t="str">
        <f t="shared" si="3"/>
        <v>US</v>
      </c>
      <c r="G46" s="3" t="s">
        <v>404</v>
      </c>
      <c r="H46" s="3" t="s">
        <v>121</v>
      </c>
      <c r="I46" s="4"/>
      <c r="J46" s="4"/>
      <c r="K46" s="4"/>
      <c r="L46" s="4"/>
      <c r="M46" s="4"/>
    </row>
    <row r="47" spans="1:13">
      <c r="A47" s="3" t="str">
        <f t="shared" si="2"/>
        <v>European Union-worker</v>
      </c>
      <c r="B47" s="3" t="s">
        <v>36</v>
      </c>
      <c r="C47" s="3" t="s">
        <v>265</v>
      </c>
      <c r="D47" s="3" t="s">
        <v>329</v>
      </c>
      <c r="E47" s="3" cm="1">
        <f t="array" ref="E47">_xlfn.IFS(D47="Doubao Seed 2.0 Pro",1,D47="Deepseek Reasoner V3.2",2,D47="Google Gemini 3.1 Pro Preview",3,D47="OpenAI ChatGPT 5.4 Pro",4)</f>
        <v>4</v>
      </c>
      <c r="F47" s="3" t="str">
        <f t="shared" si="3"/>
        <v>US</v>
      </c>
      <c r="G47" s="3" t="s">
        <v>500</v>
      </c>
      <c r="H47" s="3" t="s">
        <v>125</v>
      </c>
      <c r="I47" s="4"/>
      <c r="J47" s="4"/>
      <c r="K47" s="4"/>
      <c r="L47" s="4"/>
      <c r="M47" s="4"/>
    </row>
    <row r="48" spans="1:13">
      <c r="A48" s="3" t="str">
        <f t="shared" si="2"/>
        <v>European Union-worker</v>
      </c>
      <c r="B48" s="3" t="s">
        <v>36</v>
      </c>
      <c r="C48" s="3" t="s">
        <v>265</v>
      </c>
      <c r="D48" s="3" t="s">
        <v>329</v>
      </c>
      <c r="E48" s="3" cm="1">
        <f t="array" ref="E48">_xlfn.IFS(D48="Doubao Seed 2.0 Pro",1,D48="Deepseek Reasoner V3.2",2,D48="Google Gemini 3.1 Pro Preview",3,D48="OpenAI ChatGPT 5.4 Pro",4)</f>
        <v>4</v>
      </c>
      <c r="F48" s="3" t="str">
        <f t="shared" si="3"/>
        <v>US</v>
      </c>
      <c r="G48" s="3" t="s">
        <v>492</v>
      </c>
      <c r="H48" s="3" t="s">
        <v>105</v>
      </c>
      <c r="I48" s="4"/>
      <c r="J48" s="4"/>
      <c r="K48" s="4"/>
      <c r="L48" s="4"/>
      <c r="M48" s="4"/>
    </row>
    <row r="49" spans="1:13">
      <c r="A49" s="3" t="str">
        <f t="shared" si="2"/>
        <v>European Union-worker</v>
      </c>
      <c r="B49" s="3" t="s">
        <v>36</v>
      </c>
      <c r="C49" s="3" t="s">
        <v>265</v>
      </c>
      <c r="D49" s="3" t="s">
        <v>329</v>
      </c>
      <c r="E49" s="3" cm="1">
        <f t="array" ref="E49">_xlfn.IFS(D49="Doubao Seed 2.0 Pro",1,D49="Deepseek Reasoner V3.2",2,D49="Google Gemini 3.1 Pro Preview",3,D49="OpenAI ChatGPT 5.4 Pro",4)</f>
        <v>4</v>
      </c>
      <c r="F49" s="3" t="str">
        <f t="shared" si="3"/>
        <v>US</v>
      </c>
      <c r="G49" s="3" t="s">
        <v>473</v>
      </c>
      <c r="H49" s="3" t="s">
        <v>105</v>
      </c>
      <c r="I49" s="4"/>
      <c r="J49" s="4"/>
      <c r="K49" s="4"/>
      <c r="L49" s="4"/>
      <c r="M49" s="4"/>
    </row>
    <row r="50" spans="1:13">
      <c r="A50" s="3" t="str">
        <f t="shared" si="2"/>
        <v>European Union-worker</v>
      </c>
      <c r="B50" s="3" t="s">
        <v>36</v>
      </c>
      <c r="C50" s="3" t="s">
        <v>265</v>
      </c>
      <c r="D50" s="3" t="s">
        <v>329</v>
      </c>
      <c r="E50" s="3" cm="1">
        <f t="array" ref="E50">_xlfn.IFS(D50="Doubao Seed 2.0 Pro",1,D50="Deepseek Reasoner V3.2",2,D50="Google Gemini 3.1 Pro Preview",3,D50="OpenAI ChatGPT 5.4 Pro",4)</f>
        <v>4</v>
      </c>
      <c r="F50" s="3" t="str">
        <f t="shared" si="3"/>
        <v>US</v>
      </c>
      <c r="G50" s="3" t="s">
        <v>399</v>
      </c>
      <c r="H50" s="3" t="s">
        <v>211</v>
      </c>
      <c r="I50" s="4"/>
      <c r="J50" s="4"/>
      <c r="K50" s="4"/>
      <c r="L50" s="4"/>
      <c r="M50" s="4"/>
    </row>
    <row r="51" spans="1:13">
      <c r="A51" s="3" t="str">
        <f t="shared" si="2"/>
        <v>European Union-worker</v>
      </c>
      <c r="B51" s="3" t="s">
        <v>36</v>
      </c>
      <c r="C51" s="3" t="s">
        <v>265</v>
      </c>
      <c r="D51" s="3" t="s">
        <v>329</v>
      </c>
      <c r="E51" s="3" cm="1">
        <f t="array" ref="E51">_xlfn.IFS(D51="Doubao Seed 2.0 Pro",1,D51="Deepseek Reasoner V3.2",2,D51="Google Gemini 3.1 Pro Preview",3,D51="OpenAI ChatGPT 5.4 Pro",4)</f>
        <v>4</v>
      </c>
      <c r="F51" s="3" t="str">
        <f t="shared" si="3"/>
        <v>US</v>
      </c>
      <c r="G51" s="3" t="s">
        <v>418</v>
      </c>
      <c r="H51" s="3" t="s">
        <v>123</v>
      </c>
      <c r="I51" s="4"/>
      <c r="J51" s="4"/>
      <c r="K51" s="4"/>
      <c r="L51" s="4"/>
      <c r="M51" s="4"/>
    </row>
    <row r="52" spans="1:13">
      <c r="A52" s="3" t="str">
        <f t="shared" si="2"/>
        <v>European Union-worker</v>
      </c>
      <c r="B52" s="3" t="s">
        <v>36</v>
      </c>
      <c r="C52" s="3" t="s">
        <v>265</v>
      </c>
      <c r="D52" s="3" t="s">
        <v>329</v>
      </c>
      <c r="E52" s="3" cm="1">
        <f t="array" ref="E52">_xlfn.IFS(D52="Doubao Seed 2.0 Pro",1,D52="Deepseek Reasoner V3.2",2,D52="Google Gemini 3.1 Pro Preview",3,D52="OpenAI ChatGPT 5.4 Pro",4)</f>
        <v>4</v>
      </c>
      <c r="F52" s="3" t="str">
        <f t="shared" si="3"/>
        <v>US</v>
      </c>
      <c r="G52" s="3" t="s">
        <v>355</v>
      </c>
      <c r="H52" s="3" t="s">
        <v>80</v>
      </c>
      <c r="I52" s="4"/>
      <c r="J52" s="4"/>
      <c r="K52" s="4"/>
      <c r="L52" s="4"/>
      <c r="M52" s="4"/>
    </row>
    <row r="53" spans="1:13">
      <c r="A53" s="3" t="str">
        <f t="shared" si="2"/>
        <v>European Union-worker</v>
      </c>
      <c r="B53" s="3" t="s">
        <v>36</v>
      </c>
      <c r="C53" s="3" t="s">
        <v>265</v>
      </c>
      <c r="D53" s="3" t="s">
        <v>329</v>
      </c>
      <c r="E53" s="3" cm="1">
        <f t="array" ref="E53">_xlfn.IFS(D53="Doubao Seed 2.0 Pro",1,D53="Deepseek Reasoner V3.2",2,D53="Google Gemini 3.1 Pro Preview",3,D53="OpenAI ChatGPT 5.4 Pro",4)</f>
        <v>4</v>
      </c>
      <c r="F53" s="3" t="str">
        <f t="shared" si="3"/>
        <v>US</v>
      </c>
      <c r="G53" s="3" t="s">
        <v>338</v>
      </c>
      <c r="H53" s="3" t="s">
        <v>117</v>
      </c>
      <c r="I53" s="4"/>
      <c r="J53" s="4"/>
      <c r="K53" s="4"/>
      <c r="L53" s="4"/>
      <c r="M53" s="4"/>
    </row>
    <row r="54" spans="1:13">
      <c r="A54" s="3" t="str">
        <f t="shared" si="2"/>
        <v>European Union-worker</v>
      </c>
      <c r="B54" s="3" t="s">
        <v>36</v>
      </c>
      <c r="C54" s="3" t="s">
        <v>265</v>
      </c>
      <c r="D54" s="3" t="s">
        <v>329</v>
      </c>
      <c r="E54" s="3" cm="1">
        <f t="array" ref="E54">_xlfn.IFS(D54="Doubao Seed 2.0 Pro",1,D54="Deepseek Reasoner V3.2",2,D54="Google Gemini 3.1 Pro Preview",3,D54="OpenAI ChatGPT 5.4 Pro",4)</f>
        <v>4</v>
      </c>
      <c r="F54" s="3" t="str">
        <f t="shared" si="3"/>
        <v>US</v>
      </c>
      <c r="G54" s="3" t="s">
        <v>505</v>
      </c>
      <c r="H54" s="3" t="s">
        <v>116</v>
      </c>
      <c r="I54" s="4"/>
      <c r="J54" s="4"/>
      <c r="K54" s="4"/>
      <c r="L54" s="4"/>
      <c r="M54" s="4"/>
    </row>
    <row r="55" spans="1:13">
      <c r="A55" s="3" t="str">
        <f t="shared" si="2"/>
        <v>European Union-worker</v>
      </c>
      <c r="B55" s="3" t="s">
        <v>36</v>
      </c>
      <c r="C55" s="3" t="s">
        <v>265</v>
      </c>
      <c r="D55" s="3" t="s">
        <v>329</v>
      </c>
      <c r="E55" s="3" cm="1">
        <f t="array" ref="E55">_xlfn.IFS(D55="Doubao Seed 2.0 Pro",1,D55="Deepseek Reasoner V3.2",2,D55="Google Gemini 3.1 Pro Preview",3,D55="OpenAI ChatGPT 5.4 Pro",4)</f>
        <v>4</v>
      </c>
      <c r="F55" s="3" t="str">
        <f t="shared" si="3"/>
        <v>US</v>
      </c>
      <c r="G55" s="3" t="s">
        <v>398</v>
      </c>
      <c r="H55" s="3" t="s">
        <v>94</v>
      </c>
      <c r="I55" s="4"/>
      <c r="J55" s="4"/>
      <c r="K55" s="4"/>
      <c r="L55" s="4"/>
      <c r="M55" s="4"/>
    </row>
    <row r="56" spans="1:13">
      <c r="A56" s="3" t="str">
        <f t="shared" si="2"/>
        <v>European Union-worker</v>
      </c>
      <c r="B56" s="3" t="s">
        <v>36</v>
      </c>
      <c r="C56" s="3" t="s">
        <v>265</v>
      </c>
      <c r="D56" s="3" t="s">
        <v>329</v>
      </c>
      <c r="E56" s="3" cm="1">
        <f t="array" ref="E56">_xlfn.IFS(D56="Doubao Seed 2.0 Pro",1,D56="Deepseek Reasoner V3.2",2,D56="Google Gemini 3.1 Pro Preview",3,D56="OpenAI ChatGPT 5.4 Pro",4)</f>
        <v>4</v>
      </c>
      <c r="F56" s="3" t="str">
        <f t="shared" si="3"/>
        <v>US</v>
      </c>
      <c r="G56" s="3" t="s">
        <v>361</v>
      </c>
      <c r="H56" s="3" t="s">
        <v>113</v>
      </c>
      <c r="I56" s="4"/>
      <c r="J56" s="4"/>
      <c r="K56" s="4"/>
      <c r="L56" s="4"/>
      <c r="M56" s="4"/>
    </row>
    <row r="57" spans="1:13">
      <c r="A57" s="3" t="str">
        <f t="shared" si="2"/>
        <v>European Union-worker</v>
      </c>
      <c r="B57" s="3" t="s">
        <v>36</v>
      </c>
      <c r="C57" s="3" t="s">
        <v>265</v>
      </c>
      <c r="D57" s="3" t="s">
        <v>329</v>
      </c>
      <c r="E57" s="3" cm="1">
        <f t="array" ref="E57">_xlfn.IFS(D57="Doubao Seed 2.0 Pro",1,D57="Deepseek Reasoner V3.2",2,D57="Google Gemini 3.1 Pro Preview",3,D57="OpenAI ChatGPT 5.4 Pro",4)</f>
        <v>4</v>
      </c>
      <c r="F57" s="3" t="str">
        <f t="shared" si="3"/>
        <v>US</v>
      </c>
      <c r="G57" s="3" t="s">
        <v>130</v>
      </c>
      <c r="H57" s="3" t="s">
        <v>130</v>
      </c>
      <c r="I57" s="4"/>
      <c r="J57" s="4"/>
      <c r="K57" s="4"/>
      <c r="L57" s="4"/>
      <c r="M57" s="4"/>
    </row>
    <row r="58" spans="1:13">
      <c r="A58" s="4" t="s">
        <v>419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3" t="str">
        <f t="shared" ref="A61:A89" si="4">C61&amp;"-"&amp;B61</f>
        <v>European Union-worker</v>
      </c>
      <c r="B61" s="3" t="s">
        <v>36</v>
      </c>
      <c r="C61" s="6" t="s">
        <v>265</v>
      </c>
      <c r="D61" s="4" t="s">
        <v>197</v>
      </c>
      <c r="E61" s="4"/>
      <c r="F61" s="4"/>
      <c r="G61" s="4"/>
      <c r="H61" t="s">
        <v>58</v>
      </c>
      <c r="I61" s="8">
        <v>1</v>
      </c>
      <c r="J61" s="7"/>
      <c r="K61" s="7"/>
      <c r="L61" s="8" t="s">
        <v>199</v>
      </c>
      <c r="M61" s="8" t="s">
        <v>200</v>
      </c>
    </row>
    <row r="62" spans="1:13">
      <c r="A62" s="3" t="str">
        <f t="shared" si="4"/>
        <v>European Union-worker</v>
      </c>
      <c r="B62" s="3" t="s">
        <v>36</v>
      </c>
      <c r="C62" s="6" t="s">
        <v>265</v>
      </c>
      <c r="D62" s="4"/>
      <c r="E62" s="4"/>
      <c r="F62" s="4"/>
      <c r="G62" s="4"/>
      <c r="H62" t="s">
        <v>71</v>
      </c>
      <c r="I62" s="8">
        <v>1</v>
      </c>
      <c r="J62" s="7"/>
      <c r="K62" s="7"/>
      <c r="L62" s="8" t="s">
        <v>199</v>
      </c>
      <c r="M62" s="8" t="s">
        <v>200</v>
      </c>
    </row>
    <row r="63" spans="1:13">
      <c r="A63" s="3" t="str">
        <f t="shared" si="4"/>
        <v>European Union-worker</v>
      </c>
      <c r="B63" s="3" t="s">
        <v>36</v>
      </c>
      <c r="C63" s="6" t="s">
        <v>265</v>
      </c>
      <c r="D63" s="4"/>
      <c r="E63" s="4"/>
      <c r="F63" s="4"/>
      <c r="G63" s="4"/>
      <c r="H63" t="s">
        <v>211</v>
      </c>
      <c r="I63" s="8">
        <v>1</v>
      </c>
      <c r="J63" s="7"/>
      <c r="K63" s="7"/>
      <c r="L63" s="8" t="s">
        <v>199</v>
      </c>
      <c r="M63" s="8" t="s">
        <v>200</v>
      </c>
    </row>
    <row r="64" spans="1:13">
      <c r="A64" s="3" t="str">
        <f t="shared" si="4"/>
        <v>European Union-worker</v>
      </c>
      <c r="B64" s="3" t="s">
        <v>36</v>
      </c>
      <c r="C64" s="6" t="s">
        <v>265</v>
      </c>
      <c r="D64" s="4"/>
      <c r="E64" s="4"/>
      <c r="F64" s="4"/>
      <c r="G64" s="4"/>
      <c r="H64" t="s">
        <v>80</v>
      </c>
      <c r="I64" s="8">
        <v>1</v>
      </c>
      <c r="J64" s="8"/>
      <c r="K64" s="8"/>
      <c r="L64" s="8" t="s">
        <v>24</v>
      </c>
      <c r="M64" s="8" t="s">
        <v>55</v>
      </c>
    </row>
    <row r="65" spans="1:13">
      <c r="A65" s="3" t="str">
        <f t="shared" si="4"/>
        <v>European Union-worker</v>
      </c>
      <c r="B65" s="3" t="s">
        <v>36</v>
      </c>
      <c r="C65" s="6" t="s">
        <v>265</v>
      </c>
      <c r="D65" s="4"/>
      <c r="E65" s="4"/>
      <c r="F65" s="4"/>
      <c r="G65" s="4"/>
      <c r="H65" t="s">
        <v>224</v>
      </c>
      <c r="I65" s="8">
        <v>1</v>
      </c>
      <c r="J65" s="7"/>
      <c r="K65" s="7"/>
      <c r="L65" s="8" t="s">
        <v>199</v>
      </c>
      <c r="M65" s="8" t="s">
        <v>200</v>
      </c>
    </row>
    <row r="66" spans="1:13">
      <c r="A66" s="3" t="str">
        <f t="shared" si="4"/>
        <v>European Union-worker</v>
      </c>
      <c r="B66" s="3" t="s">
        <v>36</v>
      </c>
      <c r="C66" s="6" t="s">
        <v>265</v>
      </c>
      <c r="D66" s="4"/>
      <c r="E66" s="4"/>
      <c r="F66" s="4"/>
      <c r="G66" s="4"/>
      <c r="H66" t="s">
        <v>249</v>
      </c>
      <c r="I66" s="8">
        <v>1</v>
      </c>
      <c r="J66" s="8"/>
      <c r="K66" s="8"/>
      <c r="L66" s="8" t="s">
        <v>199</v>
      </c>
      <c r="M66" s="8" t="s">
        <v>200</v>
      </c>
    </row>
    <row r="67" spans="1:13">
      <c r="A67" s="3" t="str">
        <f t="shared" si="4"/>
        <v>European Union-worker</v>
      </c>
      <c r="B67" s="3" t="s">
        <v>36</v>
      </c>
      <c r="C67" s="6" t="s">
        <v>265</v>
      </c>
      <c r="D67" s="4"/>
      <c r="E67" s="4"/>
      <c r="F67" s="4"/>
      <c r="G67" s="4"/>
      <c r="H67" t="s">
        <v>94</v>
      </c>
      <c r="I67" s="8">
        <v>1</v>
      </c>
      <c r="J67" s="8"/>
      <c r="K67" s="8"/>
      <c r="L67" s="8" t="s">
        <v>24</v>
      </c>
      <c r="M67" s="8" t="s">
        <v>55</v>
      </c>
    </row>
    <row r="68" spans="1:13">
      <c r="A68" s="3" t="str">
        <f t="shared" si="4"/>
        <v>European Union-worker</v>
      </c>
      <c r="B68" s="3" t="s">
        <v>36</v>
      </c>
      <c r="C68" s="6" t="s">
        <v>265</v>
      </c>
      <c r="D68" s="4"/>
      <c r="E68" s="4"/>
      <c r="F68" s="4"/>
      <c r="G68" s="4"/>
      <c r="H68" t="s">
        <v>95</v>
      </c>
      <c r="I68" s="8" t="s">
        <v>230</v>
      </c>
      <c r="J68" s="8" t="s">
        <v>31</v>
      </c>
      <c r="K68" s="3" t="s">
        <v>48</v>
      </c>
      <c r="L68" s="8"/>
      <c r="M68" s="8"/>
    </row>
    <row r="69" spans="1:13">
      <c r="A69" s="3" t="str">
        <f t="shared" si="4"/>
        <v>European Union-worker</v>
      </c>
      <c r="B69" s="3" t="s">
        <v>36</v>
      </c>
      <c r="C69" s="6" t="s">
        <v>265</v>
      </c>
      <c r="D69" s="4"/>
      <c r="E69" s="4"/>
      <c r="F69" s="4"/>
      <c r="G69" s="4"/>
      <c r="H69" t="s">
        <v>100</v>
      </c>
      <c r="I69" s="8">
        <v>1</v>
      </c>
      <c r="J69" s="8"/>
      <c r="K69" s="8"/>
      <c r="L69" s="8" t="s">
        <v>24</v>
      </c>
      <c r="M69" s="8" t="s">
        <v>25</v>
      </c>
    </row>
    <row r="70" spans="1:13">
      <c r="A70" s="3" t="str">
        <f t="shared" si="4"/>
        <v>European Union-worker</v>
      </c>
      <c r="B70" s="3" t="s">
        <v>36</v>
      </c>
      <c r="C70" s="6" t="s">
        <v>265</v>
      </c>
      <c r="D70" s="4"/>
      <c r="E70" s="4"/>
      <c r="F70" s="4"/>
      <c r="G70" s="4"/>
      <c r="H70" t="s">
        <v>250</v>
      </c>
      <c r="I70" s="8">
        <v>1</v>
      </c>
      <c r="J70" s="8"/>
      <c r="K70" s="8"/>
      <c r="L70" s="8" t="s">
        <v>199</v>
      </c>
      <c r="M70" s="8" t="s">
        <v>200</v>
      </c>
    </row>
    <row r="71" spans="1:13">
      <c r="A71" s="3" t="str">
        <f t="shared" si="4"/>
        <v>European Union-worker</v>
      </c>
      <c r="B71" s="3" t="s">
        <v>36</v>
      </c>
      <c r="C71" s="6" t="s">
        <v>265</v>
      </c>
      <c r="D71" s="4"/>
      <c r="E71" s="4"/>
      <c r="F71" s="4"/>
      <c r="G71" s="4"/>
      <c r="H71" t="s">
        <v>105</v>
      </c>
      <c r="I71" s="8">
        <v>1</v>
      </c>
      <c r="J71" s="7"/>
      <c r="K71" s="7"/>
      <c r="L71" s="8" t="s">
        <v>24</v>
      </c>
      <c r="M71" s="8" t="s">
        <v>25</v>
      </c>
    </row>
    <row r="72" spans="1:13">
      <c r="A72" s="3" t="str">
        <f t="shared" si="4"/>
        <v>European Union-worker</v>
      </c>
      <c r="B72" s="3" t="s">
        <v>36</v>
      </c>
      <c r="C72" s="6" t="s">
        <v>265</v>
      </c>
      <c r="D72" s="4"/>
      <c r="E72" s="4"/>
      <c r="F72" s="4"/>
      <c r="G72" s="4"/>
      <c r="H72" t="s">
        <v>108</v>
      </c>
      <c r="I72" s="8">
        <v>1</v>
      </c>
      <c r="J72" s="8"/>
      <c r="K72" s="8"/>
      <c r="L72" s="8" t="s">
        <v>24</v>
      </c>
      <c r="M72" s="8" t="s">
        <v>55</v>
      </c>
    </row>
    <row r="73" spans="1:13">
      <c r="A73" s="3" t="str">
        <f t="shared" si="4"/>
        <v>European Union-worker</v>
      </c>
      <c r="B73" s="3" t="s">
        <v>36</v>
      </c>
      <c r="C73" s="6" t="s">
        <v>265</v>
      </c>
      <c r="D73" s="4"/>
      <c r="E73" s="4"/>
      <c r="F73" s="4"/>
      <c r="G73" s="4"/>
      <c r="H73" t="s">
        <v>112</v>
      </c>
      <c r="I73" s="8" t="s">
        <v>230</v>
      </c>
      <c r="J73" s="7">
        <v>50256</v>
      </c>
      <c r="K73" s="7" t="s">
        <v>48</v>
      </c>
      <c r="L73" s="8"/>
      <c r="M73" s="8"/>
    </row>
    <row r="74" spans="1:13">
      <c r="A74" s="3" t="str">
        <f t="shared" si="4"/>
        <v>European Union-worker</v>
      </c>
      <c r="B74" s="3" t="s">
        <v>36</v>
      </c>
      <c r="C74" s="6" t="s">
        <v>265</v>
      </c>
      <c r="D74" s="4"/>
      <c r="E74" s="4"/>
      <c r="F74" s="4"/>
      <c r="G74" s="4"/>
      <c r="H74" t="s">
        <v>113</v>
      </c>
      <c r="I74" s="8">
        <v>1</v>
      </c>
      <c r="J74" s="7"/>
      <c r="K74" s="7"/>
      <c r="L74" s="8" t="s">
        <v>24</v>
      </c>
      <c r="M74" s="8" t="s">
        <v>25</v>
      </c>
    </row>
    <row r="75" spans="1:13">
      <c r="A75" s="3" t="str">
        <f t="shared" si="4"/>
        <v>European Union-worker</v>
      </c>
      <c r="B75" s="3" t="s">
        <v>36</v>
      </c>
      <c r="C75" s="6" t="s">
        <v>265</v>
      </c>
      <c r="D75" s="4"/>
      <c r="E75" s="4"/>
      <c r="F75" s="4"/>
      <c r="G75" s="4"/>
      <c r="H75" t="s">
        <v>116</v>
      </c>
      <c r="I75" s="8">
        <v>1</v>
      </c>
      <c r="J75" s="8"/>
      <c r="K75" s="8"/>
      <c r="L75" s="8" t="s">
        <v>199</v>
      </c>
      <c r="M75" s="8" t="s">
        <v>200</v>
      </c>
    </row>
    <row r="76" spans="1:13">
      <c r="A76" s="3" t="str">
        <f t="shared" si="4"/>
        <v>European Union-worker</v>
      </c>
      <c r="B76" s="3" t="s">
        <v>36</v>
      </c>
      <c r="C76" s="6" t="s">
        <v>265</v>
      </c>
      <c r="D76" s="4"/>
      <c r="E76" s="4"/>
      <c r="F76" s="4"/>
      <c r="G76" s="4"/>
      <c r="H76" t="s">
        <v>117</v>
      </c>
      <c r="I76" s="8">
        <v>1</v>
      </c>
      <c r="J76" s="7"/>
      <c r="K76" s="7"/>
      <c r="L76" s="8" t="s">
        <v>199</v>
      </c>
      <c r="M76" s="8" t="s">
        <v>200</v>
      </c>
    </row>
    <row r="77" spans="1:13">
      <c r="A77" s="3" t="str">
        <f t="shared" si="4"/>
        <v>European Union-worker</v>
      </c>
      <c r="B77" s="3" t="s">
        <v>36</v>
      </c>
      <c r="C77" s="6" t="s">
        <v>265</v>
      </c>
      <c r="D77" s="4"/>
      <c r="E77" s="4"/>
      <c r="F77" s="4"/>
      <c r="G77" s="4"/>
      <c r="H77" t="s">
        <v>118</v>
      </c>
      <c r="I77" s="8">
        <v>1</v>
      </c>
      <c r="J77" s="7"/>
      <c r="K77" s="7"/>
      <c r="L77" s="8" t="s">
        <v>199</v>
      </c>
      <c r="M77" s="8" t="s">
        <v>200</v>
      </c>
    </row>
    <row r="78" spans="1:13">
      <c r="A78" s="3" t="str">
        <f t="shared" si="4"/>
        <v>European Union-worker</v>
      </c>
      <c r="B78" s="3" t="s">
        <v>36</v>
      </c>
      <c r="C78" s="6" t="s">
        <v>265</v>
      </c>
      <c r="D78" s="4"/>
      <c r="E78" s="4"/>
      <c r="F78" s="4"/>
      <c r="G78" s="4"/>
      <c r="H78" t="s">
        <v>121</v>
      </c>
      <c r="I78" s="8">
        <v>1</v>
      </c>
      <c r="J78" s="8"/>
      <c r="K78" s="8"/>
      <c r="L78" s="8" t="s">
        <v>24</v>
      </c>
      <c r="M78" s="8" t="s">
        <v>55</v>
      </c>
    </row>
    <row r="79" spans="1:13">
      <c r="A79" s="3" t="str">
        <f t="shared" si="4"/>
        <v>European Union-worker</v>
      </c>
      <c r="B79" s="3" t="s">
        <v>36</v>
      </c>
      <c r="C79" s="6" t="s">
        <v>265</v>
      </c>
      <c r="D79" s="4"/>
      <c r="E79" s="4"/>
      <c r="F79" s="4"/>
      <c r="G79" s="4"/>
      <c r="H79" t="s">
        <v>122</v>
      </c>
      <c r="I79" s="8" t="s">
        <v>230</v>
      </c>
      <c r="J79" s="7">
        <v>80299</v>
      </c>
      <c r="K79" s="7" t="s">
        <v>32</v>
      </c>
      <c r="L79" s="8"/>
      <c r="M79" s="8"/>
    </row>
    <row r="80" spans="1:13">
      <c r="A80" s="3" t="str">
        <f t="shared" si="4"/>
        <v>European Union-worker</v>
      </c>
      <c r="B80" s="3" t="s">
        <v>36</v>
      </c>
      <c r="C80" s="6" t="s">
        <v>265</v>
      </c>
      <c r="D80" s="4"/>
      <c r="E80" s="4"/>
      <c r="F80" s="4"/>
      <c r="G80" s="4"/>
      <c r="H80" t="s">
        <v>123</v>
      </c>
      <c r="I80" s="8">
        <v>1</v>
      </c>
      <c r="J80" s="8"/>
      <c r="K80" s="8"/>
      <c r="L80" s="8" t="s">
        <v>199</v>
      </c>
      <c r="M80" s="8" t="s">
        <v>200</v>
      </c>
    </row>
    <row r="81" spans="1:13">
      <c r="A81" s="3" t="str">
        <f t="shared" si="4"/>
        <v>European Union-worker</v>
      </c>
      <c r="B81" s="3" t="s">
        <v>36</v>
      </c>
      <c r="C81" s="6" t="s">
        <v>265</v>
      </c>
      <c r="D81" s="4"/>
      <c r="E81" s="4"/>
      <c r="F81" s="4"/>
      <c r="G81" s="4"/>
      <c r="H81" t="s">
        <v>124</v>
      </c>
      <c r="I81" s="8">
        <v>1</v>
      </c>
      <c r="J81" s="8"/>
      <c r="K81" s="8"/>
      <c r="L81" s="8" t="s">
        <v>199</v>
      </c>
      <c r="M81" s="8" t="s">
        <v>200</v>
      </c>
    </row>
    <row r="82" spans="1:13">
      <c r="A82" s="3" t="str">
        <f t="shared" si="4"/>
        <v>European Union-worker</v>
      </c>
      <c r="B82" s="3" t="s">
        <v>36</v>
      </c>
      <c r="C82" s="6" t="s">
        <v>265</v>
      </c>
      <c r="D82" s="4"/>
      <c r="E82" s="4"/>
      <c r="F82" s="4"/>
      <c r="G82" s="4"/>
      <c r="H82" t="s">
        <v>125</v>
      </c>
      <c r="I82" s="8">
        <v>1</v>
      </c>
      <c r="J82" s="7"/>
      <c r="K82" s="7"/>
      <c r="L82" s="8" t="s">
        <v>24</v>
      </c>
      <c r="M82" s="8" t="s">
        <v>55</v>
      </c>
    </row>
    <row r="83" spans="1:13">
      <c r="A83" s="3" t="str">
        <f t="shared" si="4"/>
        <v>European Union-worker</v>
      </c>
      <c r="B83" s="3" t="s">
        <v>36</v>
      </c>
      <c r="C83" s="6" t="s">
        <v>265</v>
      </c>
      <c r="D83" s="4"/>
      <c r="E83" s="4"/>
      <c r="F83" s="4"/>
      <c r="G83" s="4"/>
      <c r="H83" t="s">
        <v>130</v>
      </c>
      <c r="I83" s="8">
        <v>1</v>
      </c>
      <c r="J83" s="7"/>
      <c r="K83" s="7"/>
      <c r="L83" s="8" t="s">
        <v>199</v>
      </c>
      <c r="M83" s="8" t="s">
        <v>200</v>
      </c>
    </row>
    <row r="84" spans="1:13">
      <c r="G84" s="1"/>
      <c r="H84" s="1"/>
    </row>
    <row r="85" spans="1:13">
      <c r="G85" s="1"/>
      <c r="H85" s="1"/>
    </row>
    <row r="86" spans="1:13">
      <c r="G86" s="1"/>
      <c r="H86" s="1"/>
    </row>
    <row r="87" spans="1:13">
      <c r="G87" s="1"/>
      <c r="H87" s="1"/>
    </row>
    <row r="88" spans="1:13">
      <c r="G88" s="1"/>
      <c r="H88" s="1"/>
    </row>
  </sheetData>
  <mergeCells count="3">
    <mergeCell ref="I3:M57"/>
    <mergeCell ref="A58:M60"/>
    <mergeCell ref="D61:G83"/>
  </mergeCells>
  <dataValidations count="6">
    <dataValidation allowBlank="1" showInputMessage="1" showErrorMessage="1" promptTitle="注意，此处是初步标签" prompt="注意，此处是初步标签" sqref="G1 H21 G3:G15 G17:G1048576"/>
    <dataValidation allowBlank="1" showInputMessage="1" showErrorMessage="1" promptTitle="注意，这个是研判后标签" prompt="注意，这个是研判后标签" sqref="H1 H3:H20 H22:H37 H39:H43 H45:H57 H84:H1048576"/>
    <dataValidation type="list" allowBlank="1" showInputMessage="1" showErrorMessage="1" sqref="B3:B1048576">
      <formula1>"user,worker,tech,gov"</formula1>
    </dataValidation>
    <dataValidation type="list" allowBlank="1" showInputMessage="1" showErrorMessage="1" sqref="C3:C1048576">
      <formula1>"P.R. China,United States,European Union,Kenya"</formula1>
    </dataValidation>
    <dataValidation type="list" allowBlank="1" showInputMessage="1" showErrorMessage="1" sqref="D3:D57 D80:E1048576">
      <formula1>"DeepSeek Reasoner V3.2,OpenAI ChatGPT 5.4 Pro,Google Gemini 3.1 Pro Preview,Doubao Seed 2.0 Pro"</formula1>
    </dataValidation>
    <dataValidation type="list" allowBlank="1" showInputMessage="1" showErrorMessage="1" sqref="M3:M1048576">
      <formula1>"1(4/4),0.75(3/4),0.6(2/4+votepass),0.4(2/4+votedenied),0.25(1/4)"</formula1>
    </dataValidation>
  </dataValidations>
  <pageMargins left="0.75" right="0.75" top="1" bottom="1" header="0.5" footer="0.5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9"/>
  <sheetViews>
    <sheetView zoomScale="85" zoomScaleNormal="85" workbookViewId="0">
      <pane ySplit="2" topLeftCell="A23" activePane="bottomLeft" state="frozen"/>
      <selection/>
      <selection pane="bottomLeft" activeCell="H29" sqref="H29"/>
    </sheetView>
  </sheetViews>
  <sheetFormatPr defaultColWidth="8.61261261261261" defaultRowHeight="14.1"/>
  <cols>
    <col min="1" max="1" width="20.7117117117117" customWidth="1"/>
    <col min="2" max="2" width="11.7027027027027" customWidth="1"/>
    <col min="3" max="3" width="19.5495495495495" customWidth="1"/>
    <col min="4" max="4" width="25.1621621621622" customWidth="1"/>
    <col min="5" max="5" width="9.46846846846847" customWidth="1"/>
    <col min="6" max="6" width="12.8558558558559" customWidth="1"/>
    <col min="7" max="7" width="30.4144144144144" customWidth="1"/>
    <col min="8" max="8" width="34.0810810810811" customWidth="1"/>
    <col min="9" max="9" width="11.7027027027027" customWidth="1"/>
    <col min="10" max="10" width="13.9369369369369" customWidth="1"/>
    <col min="11" max="11" width="11.7027027027027" customWidth="1"/>
    <col min="12" max="12" width="20.7117117117117" customWidth="1"/>
    <col min="13" max="13" width="17.3243243243243" customWidth="1"/>
  </cols>
  <sheetData>
    <row r="1" spans="1:13">
      <c r="A1" s="3" t="s">
        <v>6</v>
      </c>
      <c r="B1" s="3" t="s">
        <v>266</v>
      </c>
      <c r="C1" s="3" t="s">
        <v>267</v>
      </c>
      <c r="D1" s="3" t="s">
        <v>268</v>
      </c>
      <c r="E1" s="3" t="s">
        <v>497</v>
      </c>
      <c r="F1" s="3" t="s">
        <v>269</v>
      </c>
      <c r="G1" s="3" t="s">
        <v>270</v>
      </c>
      <c r="H1" s="3" t="s">
        <v>271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</row>
    <row r="2" spans="1:13">
      <c r="A2" s="3" t="s">
        <v>272</v>
      </c>
      <c r="B2" s="3" t="s">
        <v>272</v>
      </c>
      <c r="C2" s="3" t="s">
        <v>272</v>
      </c>
      <c r="D2" s="3" t="s">
        <v>272</v>
      </c>
      <c r="E2" s="3"/>
      <c r="F2" s="3" t="str">
        <f t="shared" ref="F2:F57" si="0">IF(OR(D2="Doubao Seed 2.0 Pro",D2="DeepSeek Reasoner V3.2"),"China","US")</f>
        <v>US</v>
      </c>
      <c r="G2" s="3" t="s">
        <v>272</v>
      </c>
      <c r="H2" s="3" t="s">
        <v>272</v>
      </c>
      <c r="I2" s="3" t="s">
        <v>272</v>
      </c>
      <c r="J2" s="3">
        <f ca="1">RANDBETWEEN(10000,99999)</f>
        <v>41431</v>
      </c>
      <c r="K2" s="3" t="str">
        <f ca="1">IF(MOD(J2,2)=0,"China-backup","US-backup")</f>
        <v>US-backup</v>
      </c>
      <c r="L2" s="3" t="s">
        <v>272</v>
      </c>
      <c r="M2" s="3" t="s">
        <v>272</v>
      </c>
    </row>
    <row r="3" spans="1:13">
      <c r="A3" s="3" t="str">
        <f t="shared" ref="A3:A57" si="1">C3&amp;"-"&amp;B3</f>
        <v>European Union-user</v>
      </c>
      <c r="B3" s="3" t="s">
        <v>42</v>
      </c>
      <c r="C3" s="3" t="s">
        <v>265</v>
      </c>
      <c r="D3" s="3" t="s">
        <v>273</v>
      </c>
      <c r="E3" s="3" cm="1">
        <f t="array" ref="E3">_xlfn.IFS(D3="Doubao Seed 2.0 Pro",1,D3="Deepseek Reasoner V3.2",2,D3="Google Gemini 3.1 Pro Preview",3,D3="OpenAI ChatGPT 5.4 Pro",4)</f>
        <v>1</v>
      </c>
      <c r="F3" s="3" t="str">
        <f t="shared" si="0"/>
        <v>China</v>
      </c>
      <c r="G3" s="3" t="s">
        <v>80</v>
      </c>
      <c r="H3" s="3" t="s">
        <v>80</v>
      </c>
      <c r="I3" s="4" t="s">
        <v>197</v>
      </c>
      <c r="J3" s="4"/>
      <c r="K3" s="4"/>
      <c r="L3" s="4"/>
      <c r="M3" s="4"/>
    </row>
    <row r="4" spans="1:13">
      <c r="A4" s="3" t="str">
        <f t="shared" si="1"/>
        <v>European Union-user</v>
      </c>
      <c r="B4" s="3" t="s">
        <v>42</v>
      </c>
      <c r="C4" s="3" t="s">
        <v>265</v>
      </c>
      <c r="D4" s="3" t="s">
        <v>273</v>
      </c>
      <c r="E4" s="3" cm="1">
        <f t="array" ref="E4">_xlfn.IFS(D4="Doubao Seed 2.0 Pro",1,D4="Deepseek Reasoner V3.2",2,D4="Google Gemini 3.1 Pro Preview",3,D4="OpenAI ChatGPT 5.4 Pro",4)</f>
        <v>1</v>
      </c>
      <c r="F4" s="3" t="str">
        <f t="shared" si="0"/>
        <v>China</v>
      </c>
      <c r="G4" s="3" t="s">
        <v>278</v>
      </c>
      <c r="H4" s="3" t="s">
        <v>80</v>
      </c>
      <c r="I4" s="4"/>
      <c r="J4" s="4"/>
      <c r="K4" s="4"/>
      <c r="L4" s="4"/>
      <c r="M4" s="4"/>
    </row>
    <row r="5" spans="1:13">
      <c r="A5" s="3" t="str">
        <f t="shared" si="1"/>
        <v>European Union-user</v>
      </c>
      <c r="B5" s="3" t="s">
        <v>42</v>
      </c>
      <c r="C5" s="3" t="s">
        <v>265</v>
      </c>
      <c r="D5" s="3" t="s">
        <v>273</v>
      </c>
      <c r="E5" s="3" cm="1">
        <f t="array" ref="E5">_xlfn.IFS(D5="Doubao Seed 2.0 Pro",1,D5="Deepseek Reasoner V3.2",2,D5="Google Gemini 3.1 Pro Preview",3,D5="OpenAI ChatGPT 5.4 Pro",4)</f>
        <v>1</v>
      </c>
      <c r="F5" s="3" t="str">
        <f t="shared" si="0"/>
        <v>China</v>
      </c>
      <c r="G5" s="3" t="s">
        <v>355</v>
      </c>
      <c r="H5" s="3" t="s">
        <v>80</v>
      </c>
      <c r="I5" s="4"/>
      <c r="J5" s="4"/>
      <c r="K5" s="4"/>
      <c r="L5" s="4"/>
      <c r="M5" s="4"/>
    </row>
    <row r="6" spans="1:13">
      <c r="A6" s="3" t="str">
        <f t="shared" si="1"/>
        <v>European Union-user</v>
      </c>
      <c r="B6" s="3" t="s">
        <v>42</v>
      </c>
      <c r="C6" s="3" t="s">
        <v>265</v>
      </c>
      <c r="D6" s="3" t="s">
        <v>273</v>
      </c>
      <c r="E6" s="3" cm="1">
        <f t="array" ref="E6">_xlfn.IFS(D6="Doubao Seed 2.0 Pro",1,D6="Deepseek Reasoner V3.2",2,D6="Google Gemini 3.1 Pro Preview",3,D6="OpenAI ChatGPT 5.4 Pro",4)</f>
        <v>1</v>
      </c>
      <c r="F6" s="3" t="str">
        <f t="shared" si="0"/>
        <v>China</v>
      </c>
      <c r="G6" s="3" t="s">
        <v>360</v>
      </c>
      <c r="H6" s="3" t="s">
        <v>118</v>
      </c>
      <c r="I6" s="4"/>
      <c r="J6" s="4"/>
      <c r="K6" s="4"/>
      <c r="L6" s="4"/>
      <c r="M6" s="4"/>
    </row>
    <row r="7" spans="1:13">
      <c r="A7" s="3" t="str">
        <f t="shared" si="1"/>
        <v>European Union-user</v>
      </c>
      <c r="B7" s="3" t="s">
        <v>42</v>
      </c>
      <c r="C7" s="3" t="s">
        <v>265</v>
      </c>
      <c r="D7" s="3" t="s">
        <v>273</v>
      </c>
      <c r="E7" s="3" cm="1">
        <f t="array" ref="E7">_xlfn.IFS(D7="Doubao Seed 2.0 Pro",1,D7="Deepseek Reasoner V3.2",2,D7="Google Gemini 3.1 Pro Preview",3,D7="OpenAI ChatGPT 5.4 Pro",4)</f>
        <v>1</v>
      </c>
      <c r="F7" s="3" t="str">
        <f t="shared" si="0"/>
        <v>China</v>
      </c>
      <c r="G7" s="3" t="s">
        <v>286</v>
      </c>
      <c r="H7" s="3" t="s">
        <v>124</v>
      </c>
      <c r="I7" s="4"/>
      <c r="J7" s="4"/>
      <c r="K7" s="4"/>
      <c r="L7" s="4"/>
      <c r="M7" s="4"/>
    </row>
    <row r="8" spans="1:13">
      <c r="A8" s="3" t="str">
        <f t="shared" si="1"/>
        <v>European Union-user</v>
      </c>
      <c r="B8" s="3" t="s">
        <v>42</v>
      </c>
      <c r="C8" s="3" t="s">
        <v>265</v>
      </c>
      <c r="D8" s="3" t="s">
        <v>273</v>
      </c>
      <c r="E8" s="3" cm="1">
        <f t="array" ref="E8">_xlfn.IFS(D8="Doubao Seed 2.0 Pro",1,D8="Deepseek Reasoner V3.2",2,D8="Google Gemini 3.1 Pro Preview",3,D8="OpenAI ChatGPT 5.4 Pro",4)</f>
        <v>1</v>
      </c>
      <c r="F8" s="3" t="str">
        <f t="shared" si="0"/>
        <v>China</v>
      </c>
      <c r="G8" s="3" t="s">
        <v>496</v>
      </c>
      <c r="H8" s="3" t="s">
        <v>47</v>
      </c>
      <c r="I8" s="4"/>
      <c r="J8" s="4"/>
      <c r="K8" s="4"/>
      <c r="L8" s="4"/>
      <c r="M8" s="4"/>
    </row>
    <row r="9" spans="1:13">
      <c r="A9" s="3" t="str">
        <f t="shared" si="1"/>
        <v>European Union-user</v>
      </c>
      <c r="B9" s="3" t="s">
        <v>42</v>
      </c>
      <c r="C9" s="3" t="s">
        <v>265</v>
      </c>
      <c r="D9" s="3" t="s">
        <v>273</v>
      </c>
      <c r="E9" s="3" cm="1">
        <f t="array" ref="E9">_xlfn.IFS(D9="Doubao Seed 2.0 Pro",1,D9="Deepseek Reasoner V3.2",2,D9="Google Gemini 3.1 Pro Preview",3,D9="OpenAI ChatGPT 5.4 Pro",4)</f>
        <v>1</v>
      </c>
      <c r="F9" s="3" t="str">
        <f t="shared" si="0"/>
        <v>China</v>
      </c>
      <c r="G9" s="3" t="s">
        <v>498</v>
      </c>
      <c r="H9" s="3" t="s">
        <v>100</v>
      </c>
      <c r="I9" s="4"/>
      <c r="J9" s="4"/>
      <c r="K9" s="4"/>
      <c r="L9" s="4"/>
      <c r="M9" s="4"/>
    </row>
    <row r="10" spans="1:13">
      <c r="A10" s="3" t="str">
        <f t="shared" si="1"/>
        <v>European Union-user</v>
      </c>
      <c r="B10" s="3" t="s">
        <v>42</v>
      </c>
      <c r="C10" s="3" t="s">
        <v>265</v>
      </c>
      <c r="D10" s="3" t="s">
        <v>273</v>
      </c>
      <c r="E10" s="3" cm="1">
        <f t="array" ref="E10">_xlfn.IFS(D10="Doubao Seed 2.0 Pro",1,D10="Deepseek Reasoner V3.2",2,D10="Google Gemini 3.1 Pro Preview",3,D10="OpenAI ChatGPT 5.4 Pro",4)</f>
        <v>1</v>
      </c>
      <c r="F10" s="3" t="str">
        <f t="shared" si="0"/>
        <v>China</v>
      </c>
      <c r="G10" s="3" t="s">
        <v>281</v>
      </c>
      <c r="H10" s="3" t="s">
        <v>121</v>
      </c>
      <c r="I10" s="4"/>
      <c r="J10" s="4"/>
      <c r="K10" s="4"/>
      <c r="L10" s="4"/>
      <c r="M10" s="4"/>
    </row>
    <row r="11" spans="1:13">
      <c r="A11" s="3" t="str">
        <f t="shared" si="1"/>
        <v>European Union-user</v>
      </c>
      <c r="B11" s="3" t="s">
        <v>42</v>
      </c>
      <c r="C11" s="3" t="s">
        <v>265</v>
      </c>
      <c r="D11" s="3" t="s">
        <v>273</v>
      </c>
      <c r="E11" s="3" cm="1">
        <f t="array" ref="E11">_xlfn.IFS(D11="Doubao Seed 2.0 Pro",1,D11="Deepseek Reasoner V3.2",2,D11="Google Gemini 3.1 Pro Preview",3,D11="OpenAI ChatGPT 5.4 Pro",4)</f>
        <v>1</v>
      </c>
      <c r="F11" s="3" t="str">
        <f t="shared" si="0"/>
        <v>China</v>
      </c>
      <c r="G11" s="3" t="s">
        <v>435</v>
      </c>
      <c r="H11" s="3" t="s">
        <v>116</v>
      </c>
      <c r="I11" s="4"/>
      <c r="J11" s="4"/>
      <c r="K11" s="4"/>
      <c r="L11" s="4"/>
      <c r="M11" s="4"/>
    </row>
    <row r="12" spans="1:13">
      <c r="A12" s="3" t="str">
        <f t="shared" si="1"/>
        <v>European Union-user</v>
      </c>
      <c r="B12" s="3" t="s">
        <v>42</v>
      </c>
      <c r="C12" s="3" t="s">
        <v>265</v>
      </c>
      <c r="D12" s="3" t="s">
        <v>273</v>
      </c>
      <c r="E12" s="3" cm="1">
        <f t="array" ref="E12">_xlfn.IFS(D12="Doubao Seed 2.0 Pro",1,D12="Deepseek Reasoner V3.2",2,D12="Google Gemini 3.1 Pro Preview",3,D12="OpenAI ChatGPT 5.4 Pro",4)</f>
        <v>1</v>
      </c>
      <c r="F12" s="3" t="str">
        <f t="shared" si="0"/>
        <v>China</v>
      </c>
      <c r="G12" s="3" t="s">
        <v>425</v>
      </c>
      <c r="H12" s="3" t="s">
        <v>47</v>
      </c>
      <c r="I12" s="4"/>
      <c r="J12" s="4"/>
      <c r="K12" s="4"/>
      <c r="L12" s="4"/>
      <c r="M12" s="4"/>
    </row>
    <row r="13" spans="1:13">
      <c r="A13" s="3" t="str">
        <f t="shared" si="1"/>
        <v>European Union-user</v>
      </c>
      <c r="B13" s="3" t="s">
        <v>42</v>
      </c>
      <c r="C13" s="3" t="s">
        <v>265</v>
      </c>
      <c r="D13" s="3" t="s">
        <v>273</v>
      </c>
      <c r="E13" s="3" cm="1">
        <f t="array" ref="E13">_xlfn.IFS(D13="Doubao Seed 2.0 Pro",1,D13="Deepseek Reasoner V3.2",2,D13="Google Gemini 3.1 Pro Preview",3,D13="OpenAI ChatGPT 5.4 Pro",4)</f>
        <v>1</v>
      </c>
      <c r="F13" s="3" t="str">
        <f t="shared" si="0"/>
        <v>China</v>
      </c>
      <c r="G13" s="3" t="s">
        <v>398</v>
      </c>
      <c r="H13" s="3" t="s">
        <v>94</v>
      </c>
      <c r="I13" s="4"/>
      <c r="J13" s="4"/>
      <c r="K13" s="4"/>
      <c r="L13" s="4"/>
      <c r="M13" s="4"/>
    </row>
    <row r="14" spans="1:13">
      <c r="A14" s="3" t="str">
        <f t="shared" si="1"/>
        <v>European Union-user</v>
      </c>
      <c r="B14" s="3" t="s">
        <v>42</v>
      </c>
      <c r="C14" s="3" t="s">
        <v>265</v>
      </c>
      <c r="D14" s="3" t="s">
        <v>297</v>
      </c>
      <c r="E14" s="3" cm="1">
        <f t="array" ref="E14">_xlfn.IFS(D14="Doubao Seed 2.0 Pro",1,D14="Deepseek Reasoner V3.2",2,D14="Google Gemini 3.1 Pro Preview",3,D14="OpenAI ChatGPT 5.4 Pro",4)</f>
        <v>2</v>
      </c>
      <c r="F14" s="3" t="str">
        <f t="shared" si="0"/>
        <v>China</v>
      </c>
      <c r="G14" s="3" t="s">
        <v>498</v>
      </c>
      <c r="H14" s="3" t="s">
        <v>100</v>
      </c>
      <c r="I14" s="4"/>
      <c r="J14" s="4"/>
      <c r="K14" s="4"/>
      <c r="L14" s="4"/>
      <c r="M14" s="4"/>
    </row>
    <row r="15" spans="1:13">
      <c r="A15" s="3" t="str">
        <f t="shared" si="1"/>
        <v>European Union-user</v>
      </c>
      <c r="B15" s="3" t="s">
        <v>42</v>
      </c>
      <c r="C15" s="3" t="s">
        <v>265</v>
      </c>
      <c r="D15" s="3" t="s">
        <v>297</v>
      </c>
      <c r="E15" s="3" cm="1">
        <f t="array" ref="E15">_xlfn.IFS(D15="Doubao Seed 2.0 Pro",1,D15="Deepseek Reasoner V3.2",2,D15="Google Gemini 3.1 Pro Preview",3,D15="OpenAI ChatGPT 5.4 Pro",4)</f>
        <v>2</v>
      </c>
      <c r="F15" s="3" t="str">
        <f t="shared" si="0"/>
        <v>China</v>
      </c>
      <c r="G15" s="3" t="s">
        <v>398</v>
      </c>
      <c r="H15" s="3" t="s">
        <v>94</v>
      </c>
      <c r="I15" s="4"/>
      <c r="J15" s="4"/>
      <c r="K15" s="4"/>
      <c r="L15" s="4"/>
      <c r="M15" s="4"/>
    </row>
    <row r="16" spans="1:13">
      <c r="A16" s="3" t="str">
        <f t="shared" si="1"/>
        <v>European Union-user</v>
      </c>
      <c r="B16" s="3" t="s">
        <v>42</v>
      </c>
      <c r="C16" s="3" t="s">
        <v>265</v>
      </c>
      <c r="D16" s="3" t="s">
        <v>297</v>
      </c>
      <c r="E16" s="3" cm="1">
        <f t="array" ref="E16">_xlfn.IFS(D16="Doubao Seed 2.0 Pro",1,D16="Deepseek Reasoner V3.2",2,D16="Google Gemini 3.1 Pro Preview",3,D16="OpenAI ChatGPT 5.4 Pro",4)</f>
        <v>2</v>
      </c>
      <c r="F16" s="3" t="str">
        <f t="shared" si="0"/>
        <v>China</v>
      </c>
      <c r="G16" s="3" t="s">
        <v>80</v>
      </c>
      <c r="H16" s="3" t="s">
        <v>80</v>
      </c>
      <c r="I16" s="4"/>
      <c r="J16" s="4"/>
      <c r="K16" s="4"/>
      <c r="L16" s="4"/>
      <c r="M16" s="4"/>
    </row>
    <row r="17" spans="1:13">
      <c r="A17" s="3" t="str">
        <f t="shared" si="1"/>
        <v>European Union-user</v>
      </c>
      <c r="B17" s="3" t="s">
        <v>42</v>
      </c>
      <c r="C17" s="3" t="s">
        <v>265</v>
      </c>
      <c r="D17" s="3" t="s">
        <v>297</v>
      </c>
      <c r="E17" s="3" cm="1">
        <f t="array" ref="E17">_xlfn.IFS(D17="Doubao Seed 2.0 Pro",1,D17="Deepseek Reasoner V3.2",2,D17="Google Gemini 3.1 Pro Preview",3,D17="OpenAI ChatGPT 5.4 Pro",4)</f>
        <v>2</v>
      </c>
      <c r="F17" s="3" t="str">
        <f t="shared" si="0"/>
        <v>China</v>
      </c>
      <c r="G17" s="3" t="s">
        <v>278</v>
      </c>
      <c r="H17" s="3" t="s">
        <v>80</v>
      </c>
      <c r="I17" s="4"/>
      <c r="J17" s="4"/>
      <c r="K17" s="4"/>
      <c r="L17" s="4"/>
      <c r="M17" s="4"/>
    </row>
    <row r="18" spans="1:13">
      <c r="A18" s="3" t="str">
        <f t="shared" si="1"/>
        <v>European Union-user</v>
      </c>
      <c r="B18" s="3" t="s">
        <v>42</v>
      </c>
      <c r="C18" s="3" t="s">
        <v>265</v>
      </c>
      <c r="D18" s="3" t="s">
        <v>297</v>
      </c>
      <c r="E18" s="3" cm="1">
        <f t="array" ref="E18">_xlfn.IFS(D18="Doubao Seed 2.0 Pro",1,D18="Deepseek Reasoner V3.2",2,D18="Google Gemini 3.1 Pro Preview",3,D18="OpenAI ChatGPT 5.4 Pro",4)</f>
        <v>2</v>
      </c>
      <c r="F18" s="3" t="str">
        <f t="shared" si="0"/>
        <v>China</v>
      </c>
      <c r="G18" s="3" t="s">
        <v>285</v>
      </c>
      <c r="H18" s="3" t="s">
        <v>113</v>
      </c>
      <c r="I18" s="4"/>
      <c r="J18" s="4"/>
      <c r="K18" s="4"/>
      <c r="L18" s="4"/>
      <c r="M18" s="4"/>
    </row>
    <row r="19" spans="1:13">
      <c r="A19" s="3" t="str">
        <f t="shared" si="1"/>
        <v>European Union-user</v>
      </c>
      <c r="B19" s="3" t="s">
        <v>42</v>
      </c>
      <c r="C19" s="3" t="s">
        <v>265</v>
      </c>
      <c r="D19" s="3" t="s">
        <v>297</v>
      </c>
      <c r="E19" s="3" cm="1">
        <f t="array" ref="E19">_xlfn.IFS(D19="Doubao Seed 2.0 Pro",1,D19="Deepseek Reasoner V3.2",2,D19="Google Gemini 3.1 Pro Preview",3,D19="OpenAI ChatGPT 5.4 Pro",4)</f>
        <v>2</v>
      </c>
      <c r="F19" s="3" t="str">
        <f t="shared" si="0"/>
        <v>China</v>
      </c>
      <c r="G19" s="3" t="s">
        <v>389</v>
      </c>
      <c r="H19" s="3" t="s">
        <v>124</v>
      </c>
      <c r="I19" s="4"/>
      <c r="J19" s="4"/>
      <c r="K19" s="4"/>
      <c r="L19" s="4"/>
      <c r="M19" s="4"/>
    </row>
    <row r="20" spans="1:13">
      <c r="A20" s="3" t="str">
        <f t="shared" si="1"/>
        <v>European Union-user</v>
      </c>
      <c r="B20" s="3" t="s">
        <v>42</v>
      </c>
      <c r="C20" s="3" t="s">
        <v>265</v>
      </c>
      <c r="D20" s="3" t="s">
        <v>297</v>
      </c>
      <c r="E20" s="3" cm="1">
        <f t="array" ref="E20">_xlfn.IFS(D20="Doubao Seed 2.0 Pro",1,D20="Deepseek Reasoner V3.2",2,D20="Google Gemini 3.1 Pro Preview",3,D20="OpenAI ChatGPT 5.4 Pro",4)</f>
        <v>2</v>
      </c>
      <c r="F20" s="3" t="str">
        <f t="shared" si="0"/>
        <v>China</v>
      </c>
      <c r="G20" s="3" t="s">
        <v>433</v>
      </c>
      <c r="H20" s="3" t="s">
        <v>116</v>
      </c>
      <c r="I20" s="4"/>
      <c r="J20" s="4"/>
      <c r="K20" s="4"/>
      <c r="L20" s="4"/>
      <c r="M20" s="4"/>
    </row>
    <row r="21" spans="1:13">
      <c r="A21" s="3" t="str">
        <f t="shared" si="1"/>
        <v>European Union-user</v>
      </c>
      <c r="B21" s="3" t="s">
        <v>42</v>
      </c>
      <c r="C21" s="3" t="s">
        <v>265</v>
      </c>
      <c r="D21" s="3" t="s">
        <v>297</v>
      </c>
      <c r="E21" s="3" cm="1">
        <f t="array" ref="E21">_xlfn.IFS(D21="Doubao Seed 2.0 Pro",1,D21="Deepseek Reasoner V3.2",2,D21="Google Gemini 3.1 Pro Preview",3,D21="OpenAI ChatGPT 5.4 Pro",4)</f>
        <v>2</v>
      </c>
      <c r="F21" s="3" t="str">
        <f t="shared" si="0"/>
        <v>China</v>
      </c>
      <c r="G21" s="3" t="s">
        <v>121</v>
      </c>
      <c r="H21" s="3" t="s">
        <v>121</v>
      </c>
      <c r="I21" s="4"/>
      <c r="J21" s="4"/>
      <c r="K21" s="4"/>
      <c r="L21" s="4"/>
      <c r="M21" s="4"/>
    </row>
    <row r="22" spans="1:13">
      <c r="A22" s="3" t="str">
        <f t="shared" si="1"/>
        <v>European Union-user</v>
      </c>
      <c r="B22" s="3" t="s">
        <v>42</v>
      </c>
      <c r="C22" s="3" t="s">
        <v>265</v>
      </c>
      <c r="D22" s="3" t="s">
        <v>297</v>
      </c>
      <c r="E22" s="3" cm="1">
        <f t="array" ref="E22">_xlfn.IFS(D22="Doubao Seed 2.0 Pro",1,D22="Deepseek Reasoner V3.2",2,D22="Google Gemini 3.1 Pro Preview",3,D22="OpenAI ChatGPT 5.4 Pro",4)</f>
        <v>2</v>
      </c>
      <c r="F22" s="3" t="str">
        <f t="shared" si="0"/>
        <v>China</v>
      </c>
      <c r="G22" s="3" t="s">
        <v>496</v>
      </c>
      <c r="H22" s="3" t="s">
        <v>47</v>
      </c>
      <c r="I22" s="4"/>
      <c r="J22" s="4"/>
      <c r="K22" s="4"/>
      <c r="L22" s="4"/>
      <c r="M22" s="4"/>
    </row>
    <row r="23" spans="1:13">
      <c r="A23" s="3" t="str">
        <f t="shared" si="1"/>
        <v>European Union-user</v>
      </c>
      <c r="B23" s="3" t="s">
        <v>42</v>
      </c>
      <c r="C23" s="3" t="s">
        <v>265</v>
      </c>
      <c r="D23" s="3" t="s">
        <v>297</v>
      </c>
      <c r="E23" s="3" cm="1">
        <f t="array" ref="E23">_xlfn.IFS(D23="Doubao Seed 2.0 Pro",1,D23="Deepseek Reasoner V3.2",2,D23="Google Gemini 3.1 Pro Preview",3,D23="OpenAI ChatGPT 5.4 Pro",4)</f>
        <v>2</v>
      </c>
      <c r="F23" s="3" t="str">
        <f t="shared" si="0"/>
        <v>China</v>
      </c>
      <c r="G23" s="3" t="s">
        <v>338</v>
      </c>
      <c r="H23" s="3" t="s">
        <v>117</v>
      </c>
      <c r="I23" s="4"/>
      <c r="J23" s="4"/>
      <c r="K23" s="4"/>
      <c r="L23" s="4"/>
      <c r="M23" s="4"/>
    </row>
    <row r="24" spans="1:13">
      <c r="A24" s="3" t="str">
        <f t="shared" si="1"/>
        <v>European Union-user</v>
      </c>
      <c r="B24" s="3" t="s">
        <v>42</v>
      </c>
      <c r="C24" s="3" t="s">
        <v>265</v>
      </c>
      <c r="D24" s="3" t="s">
        <v>297</v>
      </c>
      <c r="E24" s="3" cm="1">
        <f t="array" ref="E24">_xlfn.IFS(D24="Doubao Seed 2.0 Pro",1,D24="Deepseek Reasoner V3.2",2,D24="Google Gemini 3.1 Pro Preview",3,D24="OpenAI ChatGPT 5.4 Pro",4)</f>
        <v>2</v>
      </c>
      <c r="F24" s="3" t="str">
        <f t="shared" si="0"/>
        <v>China</v>
      </c>
      <c r="G24" s="3" t="s">
        <v>290</v>
      </c>
      <c r="H24" s="3" t="s">
        <v>85</v>
      </c>
      <c r="I24" s="4"/>
      <c r="J24" s="4"/>
      <c r="K24" s="4"/>
      <c r="L24" s="4"/>
      <c r="M24" s="4"/>
    </row>
    <row r="25" spans="1:13">
      <c r="A25" s="3" t="str">
        <f t="shared" si="1"/>
        <v>European Union-user</v>
      </c>
      <c r="B25" s="3" t="s">
        <v>42</v>
      </c>
      <c r="C25" s="3" t="s">
        <v>265</v>
      </c>
      <c r="D25" s="3" t="s">
        <v>297</v>
      </c>
      <c r="E25" s="3" cm="1">
        <f t="array" ref="E25">_xlfn.IFS(D25="Doubao Seed 2.0 Pro",1,D25="Deepseek Reasoner V3.2",2,D25="Google Gemini 3.1 Pro Preview",3,D25="OpenAI ChatGPT 5.4 Pro",4)</f>
        <v>2</v>
      </c>
      <c r="F25" s="3" t="str">
        <f t="shared" si="0"/>
        <v>China</v>
      </c>
      <c r="G25" s="3" t="s">
        <v>397</v>
      </c>
      <c r="H25" s="3" t="s">
        <v>58</v>
      </c>
      <c r="I25" s="4"/>
      <c r="J25" s="4"/>
      <c r="K25" s="4"/>
      <c r="L25" s="4"/>
      <c r="M25" s="4"/>
    </row>
    <row r="26" spans="1:13">
      <c r="A26" s="3" t="str">
        <f t="shared" si="1"/>
        <v>European Union-user</v>
      </c>
      <c r="B26" s="3" t="s">
        <v>42</v>
      </c>
      <c r="C26" s="3" t="s">
        <v>265</v>
      </c>
      <c r="D26" s="3" t="s">
        <v>297</v>
      </c>
      <c r="E26" s="3" cm="1">
        <f t="array" ref="E26">_xlfn.IFS(D26="Doubao Seed 2.0 Pro",1,D26="Deepseek Reasoner V3.2",2,D26="Google Gemini 3.1 Pro Preview",3,D26="OpenAI ChatGPT 5.4 Pro",4)</f>
        <v>2</v>
      </c>
      <c r="F26" s="3" t="str">
        <f t="shared" si="0"/>
        <v>China</v>
      </c>
      <c r="G26" s="3" t="s">
        <v>95</v>
      </c>
      <c r="H26" s="3" t="s">
        <v>95</v>
      </c>
      <c r="I26" s="4"/>
      <c r="J26" s="4"/>
      <c r="K26" s="4"/>
      <c r="L26" s="4"/>
      <c r="M26" s="4"/>
    </row>
    <row r="27" spans="1:13">
      <c r="A27" s="3" t="str">
        <f t="shared" si="1"/>
        <v>European Union-user</v>
      </c>
      <c r="B27" s="3" t="s">
        <v>42</v>
      </c>
      <c r="C27" s="3" t="s">
        <v>265</v>
      </c>
      <c r="D27" s="3" t="s">
        <v>314</v>
      </c>
      <c r="E27" s="3" cm="1">
        <f t="array" ref="E27">_xlfn.IFS(D27="Doubao Seed 2.0 Pro",1,D27="Deepseek Reasoner V3.2",2,D27="Google Gemini 3.1 Pro Preview",3,D27="OpenAI ChatGPT 5.4 Pro",4)</f>
        <v>3</v>
      </c>
      <c r="F27" s="3" t="str">
        <f t="shared" si="0"/>
        <v>US</v>
      </c>
      <c r="G27" s="3" t="s">
        <v>278</v>
      </c>
      <c r="H27" s="3" t="s">
        <v>80</v>
      </c>
      <c r="I27" s="4"/>
      <c r="J27" s="4"/>
      <c r="K27" s="4"/>
      <c r="L27" s="4"/>
      <c r="M27" s="4"/>
    </row>
    <row r="28" spans="1:13">
      <c r="A28" s="3" t="str">
        <f t="shared" si="1"/>
        <v>European Union-user</v>
      </c>
      <c r="B28" s="3" t="s">
        <v>42</v>
      </c>
      <c r="C28" s="3" t="s">
        <v>265</v>
      </c>
      <c r="D28" s="3" t="s">
        <v>314</v>
      </c>
      <c r="E28" s="3" cm="1">
        <f t="array" ref="E28">_xlfn.IFS(D28="Doubao Seed 2.0 Pro",1,D28="Deepseek Reasoner V3.2",2,D28="Google Gemini 3.1 Pro Preview",3,D28="OpenAI ChatGPT 5.4 Pro",4)</f>
        <v>3</v>
      </c>
      <c r="F28" s="3" t="str">
        <f t="shared" si="0"/>
        <v>US</v>
      </c>
      <c r="G28" s="3" t="s">
        <v>398</v>
      </c>
      <c r="H28" s="3" t="s">
        <v>94</v>
      </c>
      <c r="I28" s="4"/>
      <c r="J28" s="4"/>
      <c r="K28" s="4"/>
      <c r="L28" s="4"/>
      <c r="M28" s="4"/>
    </row>
    <row r="29" spans="1:13">
      <c r="A29" s="3" t="str">
        <f t="shared" si="1"/>
        <v>European Union-user</v>
      </c>
      <c r="B29" s="3" t="s">
        <v>42</v>
      </c>
      <c r="C29" s="3" t="s">
        <v>265</v>
      </c>
      <c r="D29" s="3" t="s">
        <v>314</v>
      </c>
      <c r="E29" s="3" cm="1">
        <f t="array" ref="E29">_xlfn.IFS(D29="Doubao Seed 2.0 Pro",1,D29="Deepseek Reasoner V3.2",2,D29="Google Gemini 3.1 Pro Preview",3,D29="OpenAI ChatGPT 5.4 Pro",4)</f>
        <v>3</v>
      </c>
      <c r="F29" s="3" t="str">
        <f t="shared" si="0"/>
        <v>US</v>
      </c>
      <c r="G29" s="3" t="s">
        <v>80</v>
      </c>
      <c r="H29" s="3" t="s">
        <v>80</v>
      </c>
      <c r="I29" s="4"/>
      <c r="J29" s="4"/>
      <c r="K29" s="4"/>
      <c r="L29" s="4"/>
      <c r="M29" s="4"/>
    </row>
    <row r="30" spans="1:13">
      <c r="A30" s="3" t="str">
        <f t="shared" si="1"/>
        <v>European Union-user</v>
      </c>
      <c r="B30" s="3" t="s">
        <v>42</v>
      </c>
      <c r="C30" s="3" t="s">
        <v>265</v>
      </c>
      <c r="D30" s="3" t="s">
        <v>314</v>
      </c>
      <c r="E30" s="3" cm="1">
        <f t="array" ref="E30">_xlfn.IFS(D30="Doubao Seed 2.0 Pro",1,D30="Deepseek Reasoner V3.2",2,D30="Google Gemini 3.1 Pro Preview",3,D30="OpenAI ChatGPT 5.4 Pro",4)</f>
        <v>3</v>
      </c>
      <c r="F30" s="3" t="str">
        <f t="shared" si="0"/>
        <v>US</v>
      </c>
      <c r="G30" s="3" t="s">
        <v>498</v>
      </c>
      <c r="H30" s="3" t="s">
        <v>100</v>
      </c>
      <c r="I30" s="4"/>
      <c r="J30" s="4"/>
      <c r="K30" s="4"/>
      <c r="L30" s="4"/>
      <c r="M30" s="4"/>
    </row>
    <row r="31" spans="1:13">
      <c r="A31" s="3" t="str">
        <f t="shared" si="1"/>
        <v>European Union-user</v>
      </c>
      <c r="B31" s="3" t="s">
        <v>42</v>
      </c>
      <c r="C31" s="3" t="s">
        <v>265</v>
      </c>
      <c r="D31" s="3" t="s">
        <v>314</v>
      </c>
      <c r="E31" s="3" cm="1">
        <f t="array" ref="E31">_xlfn.IFS(D31="Doubao Seed 2.0 Pro",1,D31="Deepseek Reasoner V3.2",2,D31="Google Gemini 3.1 Pro Preview",3,D31="OpenAI ChatGPT 5.4 Pro",4)</f>
        <v>3</v>
      </c>
      <c r="F31" s="3" t="str">
        <f t="shared" si="0"/>
        <v>US</v>
      </c>
      <c r="G31" s="3" t="s">
        <v>121</v>
      </c>
      <c r="H31" s="3" t="s">
        <v>121</v>
      </c>
      <c r="I31" s="4"/>
      <c r="J31" s="4"/>
      <c r="K31" s="4"/>
      <c r="L31" s="4"/>
      <c r="M31" s="4"/>
    </row>
    <row r="32" spans="1:13">
      <c r="A32" s="3" t="str">
        <f t="shared" si="1"/>
        <v>European Union-user</v>
      </c>
      <c r="B32" s="3" t="s">
        <v>42</v>
      </c>
      <c r="C32" s="3" t="s">
        <v>265</v>
      </c>
      <c r="D32" s="3" t="s">
        <v>314</v>
      </c>
      <c r="E32" s="3" cm="1">
        <f t="array" ref="E32">_xlfn.IFS(D32="Doubao Seed 2.0 Pro",1,D32="Deepseek Reasoner V3.2",2,D32="Google Gemini 3.1 Pro Preview",3,D32="OpenAI ChatGPT 5.4 Pro",4)</f>
        <v>3</v>
      </c>
      <c r="F32" s="3" t="str">
        <f t="shared" si="0"/>
        <v>US</v>
      </c>
      <c r="G32" s="3" t="s">
        <v>360</v>
      </c>
      <c r="H32" s="3" t="s">
        <v>118</v>
      </c>
      <c r="I32" s="4"/>
      <c r="J32" s="4"/>
      <c r="K32" s="4"/>
      <c r="L32" s="4"/>
      <c r="M32" s="4"/>
    </row>
    <row r="33" spans="1:13">
      <c r="A33" s="3" t="str">
        <f t="shared" si="1"/>
        <v>European Union-user</v>
      </c>
      <c r="B33" s="3" t="s">
        <v>42</v>
      </c>
      <c r="C33" s="3" t="s">
        <v>265</v>
      </c>
      <c r="D33" s="3" t="s">
        <v>314</v>
      </c>
      <c r="E33" s="3" cm="1">
        <f t="array" ref="E33">_xlfn.IFS(D33="Doubao Seed 2.0 Pro",1,D33="Deepseek Reasoner V3.2",2,D33="Google Gemini 3.1 Pro Preview",3,D33="OpenAI ChatGPT 5.4 Pro",4)</f>
        <v>3</v>
      </c>
      <c r="F33" s="3" t="str">
        <f t="shared" si="0"/>
        <v>US</v>
      </c>
      <c r="G33" s="3" t="s">
        <v>286</v>
      </c>
      <c r="H33" s="3" t="s">
        <v>124</v>
      </c>
      <c r="I33" s="4"/>
      <c r="J33" s="4"/>
      <c r="K33" s="4"/>
      <c r="L33" s="4"/>
      <c r="M33" s="4"/>
    </row>
    <row r="34" spans="1:13">
      <c r="A34" s="3" t="str">
        <f t="shared" si="1"/>
        <v>European Union-user</v>
      </c>
      <c r="B34" s="3" t="s">
        <v>42</v>
      </c>
      <c r="C34" s="3" t="s">
        <v>265</v>
      </c>
      <c r="D34" s="3" t="s">
        <v>314</v>
      </c>
      <c r="E34" s="3" cm="1">
        <f t="array" ref="E34">_xlfn.IFS(D34="Doubao Seed 2.0 Pro",1,D34="Deepseek Reasoner V3.2",2,D34="Google Gemini 3.1 Pro Preview",3,D34="OpenAI ChatGPT 5.4 Pro",4)</f>
        <v>3</v>
      </c>
      <c r="F34" s="3" t="str">
        <f t="shared" si="0"/>
        <v>US</v>
      </c>
      <c r="G34" s="3" t="s">
        <v>338</v>
      </c>
      <c r="H34" s="3" t="s">
        <v>117</v>
      </c>
      <c r="I34" s="4"/>
      <c r="J34" s="4"/>
      <c r="K34" s="4"/>
      <c r="L34" s="4"/>
      <c r="M34" s="4"/>
    </row>
    <row r="35" spans="1:13">
      <c r="A35" s="3" t="str">
        <f t="shared" si="1"/>
        <v>European Union-user</v>
      </c>
      <c r="B35" s="3" t="s">
        <v>42</v>
      </c>
      <c r="C35" s="3" t="s">
        <v>265</v>
      </c>
      <c r="D35" s="3" t="s">
        <v>314</v>
      </c>
      <c r="E35" s="3" cm="1">
        <f t="array" ref="E35">_xlfn.IFS(D35="Doubao Seed 2.0 Pro",1,D35="Deepseek Reasoner V3.2",2,D35="Google Gemini 3.1 Pro Preview",3,D35="OpenAI ChatGPT 5.4 Pro",4)</f>
        <v>3</v>
      </c>
      <c r="F35" s="3" t="str">
        <f t="shared" si="0"/>
        <v>US</v>
      </c>
      <c r="G35" s="3" t="s">
        <v>95</v>
      </c>
      <c r="H35" s="3" t="s">
        <v>95</v>
      </c>
      <c r="I35" s="4"/>
      <c r="J35" s="4"/>
      <c r="K35" s="4"/>
      <c r="L35" s="4"/>
      <c r="M35" s="4"/>
    </row>
    <row r="36" spans="1:13">
      <c r="A36" s="3" t="str">
        <f t="shared" si="1"/>
        <v>European Union-user</v>
      </c>
      <c r="B36" s="3" t="s">
        <v>42</v>
      </c>
      <c r="C36" s="3" t="s">
        <v>265</v>
      </c>
      <c r="D36" s="3" t="s">
        <v>314</v>
      </c>
      <c r="E36" s="3" cm="1">
        <f t="array" ref="E36">_xlfn.IFS(D36="Doubao Seed 2.0 Pro",1,D36="Deepseek Reasoner V3.2",2,D36="Google Gemini 3.1 Pro Preview",3,D36="OpenAI ChatGPT 5.4 Pro",4)</f>
        <v>3</v>
      </c>
      <c r="F36" s="3" t="str">
        <f t="shared" si="0"/>
        <v>US</v>
      </c>
      <c r="G36" s="3" t="s">
        <v>500</v>
      </c>
      <c r="H36" s="3" t="s">
        <v>125</v>
      </c>
      <c r="I36" s="4"/>
      <c r="J36" s="4"/>
      <c r="K36" s="4"/>
      <c r="L36" s="4"/>
      <c r="M36" s="4"/>
    </row>
    <row r="37" spans="1:13">
      <c r="A37" s="3" t="str">
        <f t="shared" si="1"/>
        <v>European Union-user</v>
      </c>
      <c r="B37" s="3" t="s">
        <v>42</v>
      </c>
      <c r="C37" s="3" t="s">
        <v>265</v>
      </c>
      <c r="D37" s="3" t="s">
        <v>314</v>
      </c>
      <c r="E37" s="3" cm="1">
        <f t="array" ref="E37">_xlfn.IFS(D37="Doubao Seed 2.0 Pro",1,D37="Deepseek Reasoner V3.2",2,D37="Google Gemini 3.1 Pro Preview",3,D37="OpenAI ChatGPT 5.4 Pro",4)</f>
        <v>3</v>
      </c>
      <c r="F37" s="3" t="str">
        <f t="shared" si="0"/>
        <v>US</v>
      </c>
      <c r="G37" s="3" t="s">
        <v>425</v>
      </c>
      <c r="H37" s="3" t="s">
        <v>47</v>
      </c>
      <c r="I37" s="4"/>
      <c r="J37" s="4"/>
      <c r="K37" s="4"/>
      <c r="L37" s="4"/>
      <c r="M37" s="4"/>
    </row>
    <row r="38" spans="1:13">
      <c r="A38" s="3" t="str">
        <f t="shared" si="1"/>
        <v>European Union-user</v>
      </c>
      <c r="B38" s="3" t="s">
        <v>42</v>
      </c>
      <c r="C38" s="3" t="s">
        <v>265</v>
      </c>
      <c r="D38" s="3" t="s">
        <v>329</v>
      </c>
      <c r="E38" s="3" cm="1">
        <f t="array" ref="E38">_xlfn.IFS(D38="Doubao Seed 2.0 Pro",1,D38="Deepseek Reasoner V3.2",2,D38="Google Gemini 3.1 Pro Preview",3,D38="OpenAI ChatGPT 5.4 Pro",4)</f>
        <v>4</v>
      </c>
      <c r="F38" s="3" t="str">
        <f t="shared" si="0"/>
        <v>US</v>
      </c>
      <c r="G38" s="3" t="s">
        <v>278</v>
      </c>
      <c r="H38" s="3" t="s">
        <v>80</v>
      </c>
      <c r="I38" s="4"/>
      <c r="J38" s="4"/>
      <c r="K38" s="4"/>
      <c r="L38" s="4"/>
      <c r="M38" s="4"/>
    </row>
    <row r="39" spans="1:13">
      <c r="A39" s="3" t="str">
        <f t="shared" si="1"/>
        <v>European Union-user</v>
      </c>
      <c r="B39" s="3" t="s">
        <v>42</v>
      </c>
      <c r="C39" s="3" t="s">
        <v>265</v>
      </c>
      <c r="D39" s="3" t="s">
        <v>329</v>
      </c>
      <c r="E39" s="3" cm="1">
        <f t="array" ref="E39">_xlfn.IFS(D39="Doubao Seed 2.0 Pro",1,D39="Deepseek Reasoner V3.2",2,D39="Google Gemini 3.1 Pro Preview",3,D39="OpenAI ChatGPT 5.4 Pro",4)</f>
        <v>4</v>
      </c>
      <c r="F39" s="3" t="str">
        <f t="shared" si="0"/>
        <v>US</v>
      </c>
      <c r="G39" s="3" t="s">
        <v>80</v>
      </c>
      <c r="H39" s="3" t="s">
        <v>80</v>
      </c>
      <c r="I39" s="4"/>
      <c r="J39" s="4"/>
      <c r="K39" s="4"/>
      <c r="L39" s="4"/>
      <c r="M39" s="4"/>
    </row>
    <row r="40" spans="1:13">
      <c r="A40" s="3" t="str">
        <f t="shared" si="1"/>
        <v>European Union-user</v>
      </c>
      <c r="B40" s="3" t="s">
        <v>42</v>
      </c>
      <c r="C40" s="3" t="s">
        <v>265</v>
      </c>
      <c r="D40" s="3" t="s">
        <v>329</v>
      </c>
      <c r="E40" s="3" cm="1">
        <f t="array" ref="E40">_xlfn.IFS(D40="Doubao Seed 2.0 Pro",1,D40="Deepseek Reasoner V3.2",2,D40="Google Gemini 3.1 Pro Preview",3,D40="OpenAI ChatGPT 5.4 Pro",4)</f>
        <v>4</v>
      </c>
      <c r="F40" s="3" t="str">
        <f t="shared" si="0"/>
        <v>US</v>
      </c>
      <c r="G40" s="3" t="s">
        <v>285</v>
      </c>
      <c r="H40" s="3" t="s">
        <v>113</v>
      </c>
      <c r="I40" s="4"/>
      <c r="J40" s="4"/>
      <c r="K40" s="4"/>
      <c r="L40" s="4"/>
      <c r="M40" s="4"/>
    </row>
    <row r="41" spans="1:13">
      <c r="A41" s="3" t="str">
        <f t="shared" si="1"/>
        <v>European Union-user</v>
      </c>
      <c r="B41" s="3" t="s">
        <v>42</v>
      </c>
      <c r="C41" s="3" t="s">
        <v>265</v>
      </c>
      <c r="D41" s="3" t="s">
        <v>329</v>
      </c>
      <c r="E41" s="3" cm="1">
        <f t="array" ref="E41">_xlfn.IFS(D41="Doubao Seed 2.0 Pro",1,D41="Deepseek Reasoner V3.2",2,D41="Google Gemini 3.1 Pro Preview",3,D41="OpenAI ChatGPT 5.4 Pro",4)</f>
        <v>4</v>
      </c>
      <c r="F41" s="3" t="str">
        <f t="shared" si="0"/>
        <v>US</v>
      </c>
      <c r="G41" s="3" t="s">
        <v>121</v>
      </c>
      <c r="H41" s="3" t="s">
        <v>121</v>
      </c>
      <c r="I41" s="4"/>
      <c r="J41" s="4"/>
      <c r="K41" s="4"/>
      <c r="L41" s="4"/>
      <c r="M41" s="4"/>
    </row>
    <row r="42" spans="1:13">
      <c r="A42" s="3" t="str">
        <f t="shared" si="1"/>
        <v>European Union-user</v>
      </c>
      <c r="B42" s="3" t="s">
        <v>42</v>
      </c>
      <c r="C42" s="3" t="s">
        <v>265</v>
      </c>
      <c r="D42" s="3" t="s">
        <v>329</v>
      </c>
      <c r="E42" s="3" cm="1">
        <f t="array" ref="E42">_xlfn.IFS(D42="Doubao Seed 2.0 Pro",1,D42="Deepseek Reasoner V3.2",2,D42="Google Gemini 3.1 Pro Preview",3,D42="OpenAI ChatGPT 5.4 Pro",4)</f>
        <v>4</v>
      </c>
      <c r="F42" s="3" t="str">
        <f t="shared" si="0"/>
        <v>US</v>
      </c>
      <c r="G42" s="3" t="s">
        <v>496</v>
      </c>
      <c r="H42" s="3" t="s">
        <v>47</v>
      </c>
      <c r="I42" s="4"/>
      <c r="J42" s="4"/>
      <c r="K42" s="4"/>
      <c r="L42" s="4"/>
      <c r="M42" s="4"/>
    </row>
    <row r="43" spans="1:13">
      <c r="A43" s="3" t="str">
        <f t="shared" si="1"/>
        <v>European Union-user</v>
      </c>
      <c r="B43" s="3" t="s">
        <v>42</v>
      </c>
      <c r="C43" s="3" t="s">
        <v>265</v>
      </c>
      <c r="D43" s="3" t="s">
        <v>329</v>
      </c>
      <c r="E43" s="3" cm="1">
        <f t="array" ref="E43">_xlfn.IFS(D43="Doubao Seed 2.0 Pro",1,D43="Deepseek Reasoner V3.2",2,D43="Google Gemini 3.1 Pro Preview",3,D43="OpenAI ChatGPT 5.4 Pro",4)</f>
        <v>4</v>
      </c>
      <c r="F43" s="3" t="str">
        <f t="shared" si="0"/>
        <v>US</v>
      </c>
      <c r="G43" s="3" t="s">
        <v>498</v>
      </c>
      <c r="H43" s="3" t="s">
        <v>100</v>
      </c>
      <c r="I43" s="4"/>
      <c r="J43" s="4"/>
      <c r="K43" s="4"/>
      <c r="L43" s="4"/>
      <c r="M43" s="4"/>
    </row>
    <row r="44" spans="1:13">
      <c r="A44" s="3" t="str">
        <f t="shared" si="1"/>
        <v>European Union-user</v>
      </c>
      <c r="B44" s="3" t="s">
        <v>42</v>
      </c>
      <c r="C44" s="3" t="s">
        <v>265</v>
      </c>
      <c r="D44" s="3" t="s">
        <v>329</v>
      </c>
      <c r="E44" s="3" cm="1">
        <f t="array" ref="E44">_xlfn.IFS(D44="Doubao Seed 2.0 Pro",1,D44="Deepseek Reasoner V3.2",2,D44="Google Gemini 3.1 Pro Preview",3,D44="OpenAI ChatGPT 5.4 Pro",4)</f>
        <v>4</v>
      </c>
      <c r="F44" s="3" t="str">
        <f t="shared" si="0"/>
        <v>US</v>
      </c>
      <c r="G44" s="3" t="s">
        <v>508</v>
      </c>
      <c r="H44" s="3" t="s">
        <v>251</v>
      </c>
      <c r="I44" s="4"/>
      <c r="J44" s="4"/>
      <c r="K44" s="4"/>
      <c r="L44" s="4"/>
      <c r="M44" s="4"/>
    </row>
    <row r="45" spans="1:13">
      <c r="A45" s="3" t="str">
        <f t="shared" si="1"/>
        <v>European Union-user</v>
      </c>
      <c r="B45" s="3" t="s">
        <v>42</v>
      </c>
      <c r="C45" s="3" t="s">
        <v>265</v>
      </c>
      <c r="D45" s="3" t="s">
        <v>329</v>
      </c>
      <c r="E45" s="3" cm="1">
        <f t="array" ref="E45">_xlfn.IFS(D45="Doubao Seed 2.0 Pro",1,D45="Deepseek Reasoner V3.2",2,D45="Google Gemini 3.1 Pro Preview",3,D45="OpenAI ChatGPT 5.4 Pro",4)</f>
        <v>4</v>
      </c>
      <c r="F45" s="3" t="str">
        <f t="shared" si="0"/>
        <v>US</v>
      </c>
      <c r="G45" s="3" t="s">
        <v>505</v>
      </c>
      <c r="H45" s="3" t="s">
        <v>116</v>
      </c>
      <c r="I45" s="4"/>
      <c r="J45" s="4"/>
      <c r="K45" s="4"/>
      <c r="L45" s="4"/>
      <c r="M45" s="4"/>
    </row>
    <row r="46" spans="1:13">
      <c r="A46" s="3" t="str">
        <f t="shared" si="1"/>
        <v>European Union-user</v>
      </c>
      <c r="B46" s="3" t="s">
        <v>42</v>
      </c>
      <c r="C46" s="3" t="s">
        <v>265</v>
      </c>
      <c r="D46" s="3" t="s">
        <v>329</v>
      </c>
      <c r="E46" s="3" cm="1">
        <f t="array" ref="E46">_xlfn.IFS(D46="Doubao Seed 2.0 Pro",1,D46="Deepseek Reasoner V3.2",2,D46="Google Gemini 3.1 Pro Preview",3,D46="OpenAI ChatGPT 5.4 Pro",4)</f>
        <v>4</v>
      </c>
      <c r="F46" s="3" t="str">
        <f t="shared" si="0"/>
        <v>US</v>
      </c>
      <c r="G46" s="3" t="s">
        <v>435</v>
      </c>
      <c r="H46" s="3" t="s">
        <v>116</v>
      </c>
      <c r="I46" s="4"/>
      <c r="J46" s="4"/>
      <c r="K46" s="4"/>
      <c r="L46" s="4"/>
      <c r="M46" s="4"/>
    </row>
    <row r="47" spans="1:13">
      <c r="A47" s="3" t="str">
        <f t="shared" si="1"/>
        <v>European Union-user</v>
      </c>
      <c r="B47" s="3" t="s">
        <v>42</v>
      </c>
      <c r="C47" s="3" t="s">
        <v>265</v>
      </c>
      <c r="D47" s="3" t="s">
        <v>329</v>
      </c>
      <c r="E47" s="3" cm="1">
        <f t="array" ref="E47">_xlfn.IFS(D47="Doubao Seed 2.0 Pro",1,D47="Deepseek Reasoner V3.2",2,D47="Google Gemini 3.1 Pro Preview",3,D47="OpenAI ChatGPT 5.4 Pro",4)</f>
        <v>4</v>
      </c>
      <c r="F47" s="3" t="str">
        <f t="shared" si="0"/>
        <v>US</v>
      </c>
      <c r="G47" s="3" t="s">
        <v>338</v>
      </c>
      <c r="H47" s="3" t="s">
        <v>117</v>
      </c>
      <c r="I47" s="4"/>
      <c r="J47" s="4"/>
      <c r="K47" s="4"/>
      <c r="L47" s="4"/>
      <c r="M47" s="4"/>
    </row>
    <row r="48" spans="1:13">
      <c r="A48" s="3" t="str">
        <f t="shared" si="1"/>
        <v>European Union-user</v>
      </c>
      <c r="B48" s="3" t="s">
        <v>42</v>
      </c>
      <c r="C48" s="3" t="s">
        <v>265</v>
      </c>
      <c r="D48" s="3" t="s">
        <v>329</v>
      </c>
      <c r="E48" s="3" cm="1">
        <f t="array" ref="E48">_xlfn.IFS(D48="Doubao Seed 2.0 Pro",1,D48="Deepseek Reasoner V3.2",2,D48="Google Gemini 3.1 Pro Preview",3,D48="OpenAI ChatGPT 5.4 Pro",4)</f>
        <v>4</v>
      </c>
      <c r="F48" s="3" t="str">
        <f t="shared" si="0"/>
        <v>US</v>
      </c>
      <c r="G48" s="3" t="s">
        <v>286</v>
      </c>
      <c r="H48" s="3" t="s">
        <v>124</v>
      </c>
      <c r="I48" s="4"/>
      <c r="J48" s="4"/>
      <c r="K48" s="4"/>
      <c r="L48" s="4"/>
      <c r="M48" s="4"/>
    </row>
    <row r="49" spans="1:13">
      <c r="A49" s="3" t="str">
        <f t="shared" si="1"/>
        <v>European Union-user</v>
      </c>
      <c r="B49" s="3" t="s">
        <v>42</v>
      </c>
      <c r="C49" s="3" t="s">
        <v>265</v>
      </c>
      <c r="D49" s="3" t="s">
        <v>329</v>
      </c>
      <c r="E49" s="3" cm="1">
        <f t="array" ref="E49">_xlfn.IFS(D49="Doubao Seed 2.0 Pro",1,D49="Deepseek Reasoner V3.2",2,D49="Google Gemini 3.1 Pro Preview",3,D49="OpenAI ChatGPT 5.4 Pro",4)</f>
        <v>4</v>
      </c>
      <c r="F49" s="3" t="str">
        <f t="shared" si="0"/>
        <v>US</v>
      </c>
      <c r="G49" s="3" t="s">
        <v>421</v>
      </c>
      <c r="H49" s="3" t="s">
        <v>232</v>
      </c>
      <c r="I49" s="4"/>
      <c r="J49" s="4"/>
      <c r="K49" s="4"/>
      <c r="L49" s="4"/>
      <c r="M49" s="4"/>
    </row>
    <row r="50" spans="1:13">
      <c r="A50" s="3" t="str">
        <f t="shared" si="1"/>
        <v>European Union-user</v>
      </c>
      <c r="B50" s="3" t="s">
        <v>42</v>
      </c>
      <c r="C50" s="3" t="s">
        <v>265</v>
      </c>
      <c r="D50" s="3" t="s">
        <v>329</v>
      </c>
      <c r="E50" s="3" cm="1">
        <f t="array" ref="E50">_xlfn.IFS(D50="Doubao Seed 2.0 Pro",1,D50="Deepseek Reasoner V3.2",2,D50="Google Gemini 3.1 Pro Preview",3,D50="OpenAI ChatGPT 5.4 Pro",4)</f>
        <v>4</v>
      </c>
      <c r="F50" s="3" t="str">
        <f t="shared" si="0"/>
        <v>US</v>
      </c>
      <c r="G50" s="3" t="s">
        <v>360</v>
      </c>
      <c r="H50" s="3" t="s">
        <v>118</v>
      </c>
      <c r="I50" s="4"/>
      <c r="J50" s="4"/>
      <c r="K50" s="4"/>
      <c r="L50" s="4"/>
      <c r="M50" s="4"/>
    </row>
    <row r="51" spans="1:13">
      <c r="A51" s="3" t="str">
        <f t="shared" si="1"/>
        <v>European Union-user</v>
      </c>
      <c r="B51" s="3" t="s">
        <v>42</v>
      </c>
      <c r="C51" s="3" t="s">
        <v>265</v>
      </c>
      <c r="D51" s="3" t="s">
        <v>329</v>
      </c>
      <c r="E51" s="3" cm="1">
        <f t="array" ref="E51">_xlfn.IFS(D51="Doubao Seed 2.0 Pro",1,D51="Deepseek Reasoner V3.2",2,D51="Google Gemini 3.1 Pro Preview",3,D51="OpenAI ChatGPT 5.4 Pro",4)</f>
        <v>4</v>
      </c>
      <c r="F51" s="3" t="str">
        <f t="shared" si="0"/>
        <v>US</v>
      </c>
      <c r="G51" s="3" t="s">
        <v>325</v>
      </c>
      <c r="H51" s="3" t="s">
        <v>122</v>
      </c>
      <c r="I51" s="4"/>
      <c r="J51" s="4"/>
      <c r="K51" s="4"/>
      <c r="L51" s="4"/>
      <c r="M51" s="4"/>
    </row>
    <row r="52" spans="1:13">
      <c r="A52" s="3" t="str">
        <f t="shared" si="1"/>
        <v>European Union-user</v>
      </c>
      <c r="B52" s="3" t="s">
        <v>42</v>
      </c>
      <c r="C52" s="3" t="s">
        <v>265</v>
      </c>
      <c r="D52" s="3" t="s">
        <v>329</v>
      </c>
      <c r="E52" s="3" cm="1">
        <f t="array" ref="E52">_xlfn.IFS(D52="Doubao Seed 2.0 Pro",1,D52="Deepseek Reasoner V3.2",2,D52="Google Gemini 3.1 Pro Preview",3,D52="OpenAI ChatGPT 5.4 Pro",4)</f>
        <v>4</v>
      </c>
      <c r="F52" s="3" t="str">
        <f t="shared" si="0"/>
        <v>US</v>
      </c>
      <c r="G52" s="3" t="s">
        <v>433</v>
      </c>
      <c r="H52" s="3" t="s">
        <v>116</v>
      </c>
      <c r="I52" s="4"/>
      <c r="J52" s="4"/>
      <c r="K52" s="4"/>
      <c r="L52" s="4"/>
      <c r="M52" s="4"/>
    </row>
    <row r="53" spans="1:13">
      <c r="A53" s="3" t="str">
        <f t="shared" si="1"/>
        <v>European Union-user</v>
      </c>
      <c r="B53" s="3" t="s">
        <v>42</v>
      </c>
      <c r="C53" s="3" t="s">
        <v>265</v>
      </c>
      <c r="D53" s="3" t="s">
        <v>329</v>
      </c>
      <c r="E53" s="3" cm="1">
        <f t="array" ref="E53">_xlfn.IFS(D53="Doubao Seed 2.0 Pro",1,D53="Deepseek Reasoner V3.2",2,D53="Google Gemini 3.1 Pro Preview",3,D53="OpenAI ChatGPT 5.4 Pro",4)</f>
        <v>4</v>
      </c>
      <c r="F53" s="3" t="str">
        <f t="shared" si="0"/>
        <v>US</v>
      </c>
      <c r="G53" s="3" t="s">
        <v>281</v>
      </c>
      <c r="H53" s="3" t="s">
        <v>121</v>
      </c>
      <c r="I53" s="4"/>
      <c r="J53" s="4"/>
      <c r="K53" s="4"/>
      <c r="L53" s="4"/>
      <c r="M53" s="4"/>
    </row>
    <row r="54" spans="1:13">
      <c r="A54" s="3" t="str">
        <f t="shared" si="1"/>
        <v>European Union-user</v>
      </c>
      <c r="B54" s="3" t="s">
        <v>42</v>
      </c>
      <c r="C54" s="3" t="s">
        <v>265</v>
      </c>
      <c r="D54" s="3" t="s">
        <v>329</v>
      </c>
      <c r="E54" s="3" cm="1">
        <f t="array" ref="E54">_xlfn.IFS(D54="Doubao Seed 2.0 Pro",1,D54="Deepseek Reasoner V3.2",2,D54="Google Gemini 3.1 Pro Preview",3,D54="OpenAI ChatGPT 5.4 Pro",4)</f>
        <v>4</v>
      </c>
      <c r="F54" s="3" t="str">
        <f t="shared" si="0"/>
        <v>US</v>
      </c>
      <c r="G54" s="3" t="s">
        <v>500</v>
      </c>
      <c r="H54" s="3" t="s">
        <v>125</v>
      </c>
      <c r="I54" s="4"/>
      <c r="J54" s="4"/>
      <c r="K54" s="4"/>
      <c r="L54" s="4"/>
      <c r="M54" s="4"/>
    </row>
    <row r="55" spans="1:13">
      <c r="A55" s="3" t="str">
        <f t="shared" si="1"/>
        <v>European Union-user</v>
      </c>
      <c r="B55" s="3" t="s">
        <v>42</v>
      </c>
      <c r="C55" s="3" t="s">
        <v>265</v>
      </c>
      <c r="D55" s="3" t="s">
        <v>329</v>
      </c>
      <c r="E55" s="3" cm="1">
        <f t="array" ref="E55">_xlfn.IFS(D55="Doubao Seed 2.0 Pro",1,D55="Deepseek Reasoner V3.2",2,D55="Google Gemini 3.1 Pro Preview",3,D55="OpenAI ChatGPT 5.4 Pro",4)</f>
        <v>4</v>
      </c>
      <c r="F55" s="3" t="str">
        <f t="shared" si="0"/>
        <v>US</v>
      </c>
      <c r="G55" s="3" t="s">
        <v>399</v>
      </c>
      <c r="H55" s="3" t="s">
        <v>211</v>
      </c>
      <c r="I55" s="4"/>
      <c r="J55" s="4"/>
      <c r="K55" s="4"/>
      <c r="L55" s="4"/>
      <c r="M55" s="4"/>
    </row>
    <row r="56" spans="1:13">
      <c r="A56" s="3" t="str">
        <f t="shared" si="1"/>
        <v>European Union-user</v>
      </c>
      <c r="B56" s="3" t="s">
        <v>42</v>
      </c>
      <c r="C56" s="3" t="s">
        <v>265</v>
      </c>
      <c r="D56" s="3" t="s">
        <v>329</v>
      </c>
      <c r="E56" s="3" cm="1">
        <f t="array" ref="E56">_xlfn.IFS(D56="Doubao Seed 2.0 Pro",1,D56="Deepseek Reasoner V3.2",2,D56="Google Gemini 3.1 Pro Preview",3,D56="OpenAI ChatGPT 5.4 Pro",4)</f>
        <v>4</v>
      </c>
      <c r="F56" s="3" t="str">
        <f t="shared" si="0"/>
        <v>US</v>
      </c>
      <c r="G56" s="3" t="s">
        <v>486</v>
      </c>
      <c r="H56" s="3" t="s">
        <v>116</v>
      </c>
      <c r="I56" s="4"/>
      <c r="J56" s="4"/>
      <c r="K56" s="4"/>
      <c r="L56" s="4"/>
      <c r="M56" s="4"/>
    </row>
    <row r="57" spans="1:13">
      <c r="A57" s="3" t="str">
        <f t="shared" si="1"/>
        <v>European Union-user</v>
      </c>
      <c r="B57" s="3" t="s">
        <v>42</v>
      </c>
      <c r="C57" s="3" t="s">
        <v>265</v>
      </c>
      <c r="D57" s="3" t="s">
        <v>329</v>
      </c>
      <c r="E57" s="3" cm="1">
        <f t="array" ref="E57">_xlfn.IFS(D57="Doubao Seed 2.0 Pro",1,D57="Deepseek Reasoner V3.2",2,D57="Google Gemini 3.1 Pro Preview",3,D57="OpenAI ChatGPT 5.4 Pro",4)</f>
        <v>4</v>
      </c>
      <c r="F57" s="3" t="str">
        <f t="shared" si="0"/>
        <v>US</v>
      </c>
      <c r="G57" s="3" t="s">
        <v>95</v>
      </c>
      <c r="H57" s="3" t="s">
        <v>95</v>
      </c>
      <c r="I57" s="4"/>
      <c r="J57" s="4"/>
      <c r="K57" s="4"/>
      <c r="L57" s="4"/>
      <c r="M57" s="4"/>
    </row>
    <row r="58" spans="1:13">
      <c r="A58" s="4" t="s">
        <v>419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3" t="str">
        <f t="shared" ref="A61:A68" si="2">C61&amp;"-"&amp;B61</f>
        <v>European Union-user</v>
      </c>
      <c r="B61" s="3" t="s">
        <v>42</v>
      </c>
      <c r="C61" s="3" t="s">
        <v>265</v>
      </c>
      <c r="D61" s="4" t="s">
        <v>197</v>
      </c>
      <c r="E61" s="4"/>
      <c r="F61" s="4"/>
      <c r="G61" s="4"/>
      <c r="H61" s="3" t="s">
        <v>58</v>
      </c>
      <c r="I61" s="3">
        <v>1</v>
      </c>
      <c r="J61" s="7"/>
      <c r="K61" s="7"/>
      <c r="L61" s="8" t="s">
        <v>199</v>
      </c>
      <c r="M61" s="8" t="s">
        <v>200</v>
      </c>
    </row>
    <row r="62" spans="1:13">
      <c r="A62" s="3" t="str">
        <f t="shared" si="2"/>
        <v>European Union-user</v>
      </c>
      <c r="B62" s="3" t="s">
        <v>42</v>
      </c>
      <c r="C62" s="3" t="s">
        <v>265</v>
      </c>
      <c r="D62" s="4"/>
      <c r="E62" s="4"/>
      <c r="F62" s="4"/>
      <c r="G62" s="4"/>
      <c r="H62" s="3" t="s">
        <v>211</v>
      </c>
      <c r="I62" s="3">
        <v>1</v>
      </c>
      <c r="J62" s="7"/>
      <c r="K62" s="7"/>
      <c r="L62" s="8" t="s">
        <v>199</v>
      </c>
      <c r="M62" s="8" t="s">
        <v>200</v>
      </c>
    </row>
    <row r="63" spans="1:13">
      <c r="A63" s="3" t="str">
        <f t="shared" si="2"/>
        <v>European Union-user</v>
      </c>
      <c r="B63" s="3" t="s">
        <v>42</v>
      </c>
      <c r="C63" s="3" t="s">
        <v>265</v>
      </c>
      <c r="D63" s="4"/>
      <c r="E63" s="4"/>
      <c r="F63" s="4"/>
      <c r="G63" s="4"/>
      <c r="H63" s="3" t="s">
        <v>251</v>
      </c>
      <c r="I63" s="3">
        <v>1</v>
      </c>
      <c r="J63" s="8"/>
      <c r="K63" s="8"/>
      <c r="L63" s="8" t="s">
        <v>199</v>
      </c>
      <c r="M63" s="8" t="s">
        <v>200</v>
      </c>
    </row>
    <row r="64" spans="1:13">
      <c r="A64" s="3" t="str">
        <f t="shared" si="2"/>
        <v>European Union-user</v>
      </c>
      <c r="B64" s="3" t="s">
        <v>42</v>
      </c>
      <c r="C64" s="3" t="s">
        <v>265</v>
      </c>
      <c r="D64" s="4"/>
      <c r="E64" s="4"/>
      <c r="F64" s="4"/>
      <c r="G64" s="4"/>
      <c r="H64" s="3" t="s">
        <v>85</v>
      </c>
      <c r="I64" s="3">
        <v>1</v>
      </c>
      <c r="J64" s="7"/>
      <c r="K64" s="7"/>
      <c r="L64" s="8" t="s">
        <v>199</v>
      </c>
      <c r="M64" s="8" t="s">
        <v>200</v>
      </c>
    </row>
    <row r="65" spans="1:13">
      <c r="A65" s="3" t="str">
        <f t="shared" si="2"/>
        <v>European Union-user</v>
      </c>
      <c r="B65" s="3" t="s">
        <v>42</v>
      </c>
      <c r="C65" s="3" t="s">
        <v>265</v>
      </c>
      <c r="D65" s="4"/>
      <c r="E65" s="4"/>
      <c r="F65" s="4"/>
      <c r="G65" s="4"/>
      <c r="H65" s="3" t="s">
        <v>232</v>
      </c>
      <c r="I65" s="3">
        <v>1</v>
      </c>
      <c r="J65" s="8"/>
      <c r="K65" s="8"/>
      <c r="L65" s="8" t="s">
        <v>199</v>
      </c>
      <c r="M65" s="8" t="s">
        <v>200</v>
      </c>
    </row>
    <row r="66" spans="1:13">
      <c r="A66" s="3" t="str">
        <f t="shared" si="2"/>
        <v>European Union-user</v>
      </c>
      <c r="B66" s="3" t="s">
        <v>42</v>
      </c>
      <c r="C66" s="3" t="s">
        <v>265</v>
      </c>
      <c r="D66" s="4"/>
      <c r="E66" s="4"/>
      <c r="F66" s="4"/>
      <c r="G66" s="4"/>
      <c r="H66" s="3" t="s">
        <v>122</v>
      </c>
      <c r="I66" s="3">
        <v>1</v>
      </c>
      <c r="J66" s="8"/>
      <c r="K66" s="8"/>
      <c r="L66" s="8" t="s">
        <v>199</v>
      </c>
      <c r="M66" s="8" t="s">
        <v>200</v>
      </c>
    </row>
    <row r="67" spans="1:13">
      <c r="A67" s="3" t="str">
        <f t="shared" si="2"/>
        <v>European Union-user</v>
      </c>
      <c r="B67" s="3" t="s">
        <v>42</v>
      </c>
      <c r="C67" s="3" t="s">
        <v>265</v>
      </c>
      <c r="D67" s="4"/>
      <c r="E67" s="4"/>
      <c r="F67" s="4"/>
      <c r="G67" s="4"/>
      <c r="H67" s="3" t="s">
        <v>113</v>
      </c>
      <c r="I67" s="3" t="s">
        <v>217</v>
      </c>
      <c r="J67" s="7">
        <v>16895</v>
      </c>
      <c r="K67" s="3" t="s">
        <v>32</v>
      </c>
      <c r="L67" s="8"/>
      <c r="M67" s="8"/>
    </row>
    <row r="68" spans="1:13">
      <c r="A68" s="3" t="str">
        <f t="shared" si="2"/>
        <v>European Union-user</v>
      </c>
      <c r="B68" s="3" t="s">
        <v>42</v>
      </c>
      <c r="C68" s="3" t="s">
        <v>265</v>
      </c>
      <c r="D68" s="4"/>
      <c r="E68" s="4"/>
      <c r="F68" s="4"/>
      <c r="G68" s="4"/>
      <c r="H68" s="3" t="s">
        <v>125</v>
      </c>
      <c r="I68" s="3" t="s">
        <v>217</v>
      </c>
      <c r="J68" s="8" t="s">
        <v>31</v>
      </c>
      <c r="K68" s="8" t="s">
        <v>32</v>
      </c>
      <c r="L68" s="8"/>
      <c r="M68" s="8"/>
    </row>
    <row r="69" spans="1:13">
      <c r="A69" s="3" t="str">
        <f t="shared" ref="A69:A81" si="3">C69&amp;"-"&amp;B69</f>
        <v>European Union-user</v>
      </c>
      <c r="B69" s="3" t="s">
        <v>42</v>
      </c>
      <c r="C69" s="3" t="s">
        <v>265</v>
      </c>
      <c r="D69" s="4"/>
      <c r="E69" s="4"/>
      <c r="F69" s="4"/>
      <c r="G69" s="4"/>
      <c r="H69" s="3" t="s">
        <v>94</v>
      </c>
      <c r="I69" s="3">
        <v>1</v>
      </c>
      <c r="J69" s="7"/>
      <c r="K69" s="7"/>
      <c r="L69" s="8" t="s">
        <v>24</v>
      </c>
      <c r="M69" s="8" t="s">
        <v>25</v>
      </c>
    </row>
    <row r="70" spans="1:13">
      <c r="A70" s="3" t="str">
        <f t="shared" si="3"/>
        <v>European Union-user</v>
      </c>
      <c r="B70" s="3" t="s">
        <v>42</v>
      </c>
      <c r="C70" s="3" t="s">
        <v>265</v>
      </c>
      <c r="D70" s="4"/>
      <c r="E70" s="4"/>
      <c r="F70" s="4"/>
      <c r="G70" s="4"/>
      <c r="H70" s="3" t="s">
        <v>95</v>
      </c>
      <c r="I70" s="3">
        <v>1</v>
      </c>
      <c r="J70" s="8"/>
      <c r="K70" s="8"/>
      <c r="L70" s="8" t="s">
        <v>24</v>
      </c>
      <c r="M70" s="8" t="s">
        <v>55</v>
      </c>
    </row>
    <row r="71" spans="1:13">
      <c r="A71" s="3" t="str">
        <f t="shared" si="3"/>
        <v>European Union-user</v>
      </c>
      <c r="B71" s="3" t="s">
        <v>42</v>
      </c>
      <c r="C71" s="3" t="s">
        <v>265</v>
      </c>
      <c r="D71" s="4"/>
      <c r="E71" s="4"/>
      <c r="F71" s="4"/>
      <c r="G71" s="4"/>
      <c r="H71" s="3" t="s">
        <v>117</v>
      </c>
      <c r="I71" s="3">
        <v>1</v>
      </c>
      <c r="J71" s="7"/>
      <c r="K71" s="7"/>
      <c r="L71" s="8" t="s">
        <v>24</v>
      </c>
      <c r="M71" s="8" t="s">
        <v>55</v>
      </c>
    </row>
    <row r="72" spans="1:13">
      <c r="A72" s="3" t="str">
        <f t="shared" si="3"/>
        <v>European Union-user</v>
      </c>
      <c r="B72" s="3" t="s">
        <v>42</v>
      </c>
      <c r="C72" s="3" t="s">
        <v>265</v>
      </c>
      <c r="D72" s="4"/>
      <c r="E72" s="4"/>
      <c r="F72" s="4"/>
      <c r="G72" s="4"/>
      <c r="H72" s="3" t="s">
        <v>118</v>
      </c>
      <c r="I72" s="3">
        <v>1</v>
      </c>
      <c r="J72" s="7"/>
      <c r="K72" s="7"/>
      <c r="L72" s="8" t="s">
        <v>24</v>
      </c>
      <c r="M72" s="8" t="s">
        <v>55</v>
      </c>
    </row>
    <row r="73" spans="1:13">
      <c r="A73" s="3" t="str">
        <f t="shared" si="3"/>
        <v>European Union-user</v>
      </c>
      <c r="B73" s="3" t="s">
        <v>42</v>
      </c>
      <c r="C73" s="3" t="s">
        <v>265</v>
      </c>
      <c r="D73" s="4"/>
      <c r="E73" s="4"/>
      <c r="F73" s="4"/>
      <c r="G73" s="4"/>
      <c r="H73" s="3" t="s">
        <v>100</v>
      </c>
      <c r="I73" s="3">
        <v>1</v>
      </c>
      <c r="J73" s="8"/>
      <c r="K73" s="8"/>
      <c r="L73" s="8" t="s">
        <v>24</v>
      </c>
      <c r="M73" s="8" t="s">
        <v>25</v>
      </c>
    </row>
    <row r="74" spans="1:13">
      <c r="A74" s="3" t="str">
        <f t="shared" si="3"/>
        <v>European Union-user</v>
      </c>
      <c r="B74" s="3" t="s">
        <v>42</v>
      </c>
      <c r="C74" s="3" t="s">
        <v>265</v>
      </c>
      <c r="D74" s="4"/>
      <c r="E74" s="4"/>
      <c r="F74" s="4"/>
      <c r="G74" s="4"/>
      <c r="H74" s="3" t="s">
        <v>124</v>
      </c>
      <c r="I74" s="3">
        <v>1</v>
      </c>
      <c r="J74" s="7"/>
      <c r="K74" s="7"/>
      <c r="L74" s="8" t="s">
        <v>24</v>
      </c>
      <c r="M74" s="8" t="s">
        <v>25</v>
      </c>
    </row>
    <row r="75" spans="1:13">
      <c r="A75" s="3" t="str">
        <f t="shared" si="3"/>
        <v>European Union-user</v>
      </c>
      <c r="B75" s="3" t="s">
        <v>42</v>
      </c>
      <c r="C75" s="3" t="s">
        <v>265</v>
      </c>
      <c r="D75" s="4"/>
      <c r="E75" s="4"/>
      <c r="F75" s="4"/>
      <c r="G75" s="4"/>
      <c r="H75" s="3" t="s">
        <v>47</v>
      </c>
      <c r="I75" s="3">
        <v>1</v>
      </c>
      <c r="J75" s="7"/>
      <c r="K75" s="7"/>
      <c r="L75" s="8" t="s">
        <v>24</v>
      </c>
      <c r="M75" s="8" t="s">
        <v>25</v>
      </c>
    </row>
    <row r="76" spans="1:13">
      <c r="A76" s="3" t="str">
        <f t="shared" si="3"/>
        <v>European Union-user</v>
      </c>
      <c r="B76" s="3" t="s">
        <v>42</v>
      </c>
      <c r="C76" s="3" t="s">
        <v>265</v>
      </c>
      <c r="D76" s="4"/>
      <c r="E76" s="4"/>
      <c r="F76" s="4"/>
      <c r="G76" s="4"/>
      <c r="H76" s="3" t="s">
        <v>121</v>
      </c>
      <c r="I76" s="3">
        <v>1</v>
      </c>
      <c r="J76" s="8"/>
      <c r="K76" s="8"/>
      <c r="L76" s="8" t="s">
        <v>24</v>
      </c>
      <c r="M76" s="8" t="s">
        <v>25</v>
      </c>
    </row>
    <row r="77" spans="1:13">
      <c r="A77" s="3" t="str">
        <f t="shared" si="3"/>
        <v>European Union-user</v>
      </c>
      <c r="B77" s="3" t="s">
        <v>42</v>
      </c>
      <c r="C77" s="3" t="s">
        <v>265</v>
      </c>
      <c r="D77" s="4"/>
      <c r="E77" s="4"/>
      <c r="F77" s="4"/>
      <c r="G77" s="4"/>
      <c r="H77" s="3" t="s">
        <v>116</v>
      </c>
      <c r="I77" s="3">
        <v>1</v>
      </c>
      <c r="J77" s="7"/>
      <c r="K77" s="7"/>
      <c r="L77" s="8" t="s">
        <v>24</v>
      </c>
      <c r="M77" s="8" t="s">
        <v>55</v>
      </c>
    </row>
    <row r="78" spans="1:13">
      <c r="A78" s="3" t="str">
        <f t="shared" si="3"/>
        <v>European Union-user</v>
      </c>
      <c r="B78" s="3" t="s">
        <v>42</v>
      </c>
      <c r="C78" s="3" t="s">
        <v>265</v>
      </c>
      <c r="D78" s="4"/>
      <c r="E78" s="4"/>
      <c r="F78" s="4"/>
      <c r="G78" s="4"/>
      <c r="H78" s="3" t="s">
        <v>80</v>
      </c>
      <c r="I78" s="3">
        <v>1</v>
      </c>
      <c r="J78" s="3"/>
      <c r="K78" s="3"/>
      <c r="L78" s="3" t="s">
        <v>24</v>
      </c>
      <c r="M78" s="3" t="s">
        <v>25</v>
      </c>
    </row>
    <row r="118" spans="7:8">
      <c r="G118" s="1"/>
      <c r="H118" s="1"/>
    </row>
    <row r="128" spans="7:8">
      <c r="H128" s="2"/>
    </row>
    <row r="129" spans="7:8">
      <c r="G129" s="3"/>
      <c r="H129" s="3"/>
    </row>
    <row r="130" spans="7:8">
      <c r="G130" s="3"/>
      <c r="H130" s="3"/>
    </row>
    <row r="131" spans="7:8">
      <c r="G131" s="3"/>
      <c r="H131" s="3"/>
    </row>
    <row r="132" spans="7:8">
      <c r="G132" s="3"/>
      <c r="H132" s="3"/>
    </row>
    <row r="133" spans="7:8">
      <c r="G133" s="3"/>
      <c r="H133" s="3"/>
    </row>
    <row r="134" spans="7:8">
      <c r="G134" s="3"/>
      <c r="H134" s="3"/>
    </row>
    <row r="135" spans="7:8">
      <c r="G135" s="3"/>
      <c r="H135" s="3"/>
    </row>
    <row r="136" spans="7:8">
      <c r="G136" s="3"/>
      <c r="H136" s="3"/>
    </row>
    <row r="137" spans="7:8">
      <c r="G137" s="3"/>
      <c r="H137" s="3"/>
    </row>
    <row r="138" spans="7:8">
      <c r="G138" s="3"/>
      <c r="H138" s="3"/>
    </row>
    <row r="139" spans="7:8">
      <c r="G139" s="3"/>
      <c r="H139" s="3"/>
    </row>
    <row r="140" spans="7:8">
      <c r="G140" s="3"/>
      <c r="H140" s="3"/>
    </row>
    <row r="141" spans="7:8">
      <c r="G141" s="3"/>
      <c r="H141" s="3"/>
    </row>
    <row r="142" spans="7:8">
      <c r="G142" s="3"/>
      <c r="H142" s="3"/>
    </row>
    <row r="143" spans="7:8">
      <c r="G143" s="3"/>
      <c r="H143" s="3"/>
    </row>
    <row r="144" spans="7:8">
      <c r="G144" s="3"/>
      <c r="H144" s="3"/>
    </row>
    <row r="145" spans="7:8">
      <c r="G145" s="3"/>
      <c r="H145" s="3"/>
    </row>
    <row r="146" spans="7:8">
      <c r="G146" s="3"/>
      <c r="H146" s="3"/>
    </row>
    <row r="147" spans="7:8">
      <c r="G147" s="3"/>
      <c r="H147" s="3"/>
    </row>
    <row r="148" spans="7:8">
      <c r="G148" s="3"/>
      <c r="H148" s="3"/>
    </row>
    <row r="149" spans="7:8">
      <c r="G149" s="3"/>
      <c r="H149" s="3"/>
    </row>
    <row r="150" spans="7:8">
      <c r="G150" s="3"/>
      <c r="H150" s="3"/>
    </row>
    <row r="151" spans="7:8">
      <c r="G151" s="3"/>
      <c r="H151" s="3"/>
    </row>
    <row r="152" spans="7:8">
      <c r="G152" s="3"/>
      <c r="H152" s="3"/>
    </row>
    <row r="153" spans="7:8">
      <c r="G153" s="3"/>
      <c r="H153" s="3"/>
    </row>
    <row r="154" spans="7:8">
      <c r="G154" s="3"/>
      <c r="H154" s="3"/>
    </row>
    <row r="155" spans="7:8">
      <c r="G155" s="3"/>
      <c r="H155" s="3"/>
    </row>
    <row r="156" spans="7:8">
      <c r="G156" s="3"/>
      <c r="H156" s="3"/>
    </row>
    <row r="157" spans="7:8">
      <c r="G157" s="3"/>
      <c r="H157" s="3"/>
    </row>
    <row r="158" spans="7:8">
      <c r="G158" s="3"/>
      <c r="H158" s="3"/>
    </row>
    <row r="159" spans="7:8">
      <c r="G159" s="3"/>
      <c r="H159" s="3"/>
    </row>
    <row r="160" spans="7:8">
      <c r="G160" s="3"/>
      <c r="H160" s="3"/>
    </row>
    <row r="161" spans="7:8">
      <c r="G161" s="3"/>
      <c r="H161" s="3"/>
    </row>
    <row r="162" spans="7:8">
      <c r="G162" s="3"/>
      <c r="H162" s="3"/>
    </row>
    <row r="163" spans="7:8">
      <c r="G163" s="3"/>
      <c r="H163" s="3"/>
    </row>
    <row r="164" spans="7:8">
      <c r="G164" s="3"/>
      <c r="H164" s="3"/>
    </row>
    <row r="165" spans="7:8">
      <c r="G165" s="3"/>
      <c r="H165" s="3"/>
    </row>
    <row r="166" spans="7:8">
      <c r="G166" s="3"/>
      <c r="H166" s="3"/>
    </row>
    <row r="167" spans="7:8">
      <c r="G167" s="3"/>
      <c r="H167" s="3"/>
    </row>
    <row r="168" spans="7:8">
      <c r="G168" s="3"/>
      <c r="H168" s="3"/>
    </row>
    <row r="169" spans="7:8">
      <c r="G169" s="3"/>
      <c r="H169" s="3"/>
    </row>
    <row r="170" spans="7:8">
      <c r="G170" s="3"/>
      <c r="H170" s="3"/>
    </row>
    <row r="171" spans="7:8">
      <c r="G171" s="3"/>
      <c r="H171" s="3"/>
    </row>
    <row r="174" spans="7:8">
      <c r="G174" s="1"/>
      <c r="H174" s="1"/>
    </row>
    <row r="181" spans="7:8">
      <c r="G181" s="1"/>
      <c r="H181" s="1"/>
    </row>
    <row r="189" spans="7:8">
      <c r="G189" s="1"/>
      <c r="H189" s="1"/>
    </row>
    <row r="191" spans="7:8">
      <c r="G191" s="1"/>
      <c r="H191" s="1"/>
    </row>
    <row r="192" spans="7:8">
      <c r="G192" s="1"/>
      <c r="H192" s="1"/>
    </row>
    <row r="201" spans="7:8">
      <c r="G201" s="1"/>
      <c r="H201" s="1"/>
    </row>
    <row r="202" spans="7:8">
      <c r="G202" s="1"/>
      <c r="H202" s="1"/>
    </row>
    <row r="203" spans="7:8">
      <c r="G203" s="1"/>
      <c r="H203" s="1"/>
    </row>
    <row r="206" spans="7:8">
      <c r="G206" s="1"/>
      <c r="H206" s="1"/>
    </row>
    <row r="209" spans="7:8">
      <c r="G209" s="1"/>
      <c r="H209" s="1"/>
    </row>
    <row r="211" spans="7:8">
      <c r="G211" s="1"/>
      <c r="H211" s="1"/>
    </row>
    <row r="214" spans="7:8">
      <c r="G214" s="1"/>
      <c r="H214" s="1"/>
    </row>
    <row r="224" spans="7:8">
      <c r="G224" s="1"/>
      <c r="H224" s="1"/>
    </row>
    <row r="226" spans="7:8">
      <c r="G226" s="1"/>
      <c r="H226" s="1"/>
    </row>
    <row r="238" spans="7:8">
      <c r="G238" s="1"/>
      <c r="H238" s="1"/>
    </row>
    <row r="251" spans="7:8">
      <c r="G251" s="1"/>
      <c r="H251" s="1"/>
    </row>
    <row r="259" spans="7:8">
      <c r="G259" s="1"/>
      <c r="H259" s="1"/>
    </row>
    <row r="268" spans="7:8">
      <c r="G268" s="1"/>
      <c r="H268" s="1"/>
    </row>
    <row r="269" spans="7:8">
      <c r="G269" s="1"/>
      <c r="H269" s="1"/>
    </row>
    <row r="272" spans="7:8">
      <c r="G272" s="1"/>
      <c r="H272" s="1"/>
    </row>
    <row r="273" spans="7:8">
      <c r="G273" s="1"/>
      <c r="H273" s="1"/>
    </row>
    <row r="280" spans="7:8">
      <c r="G280" s="3"/>
      <c r="H280" s="3"/>
    </row>
    <row r="281" spans="7:8">
      <c r="G281" s="3"/>
      <c r="H281" s="3"/>
    </row>
    <row r="282" spans="7:8">
      <c r="G282" s="3"/>
      <c r="H282" s="3"/>
    </row>
    <row r="283" spans="7:8">
      <c r="G283" s="3"/>
      <c r="H283" s="3"/>
    </row>
    <row r="284" spans="7:8">
      <c r="G284" s="3"/>
      <c r="H284" s="3"/>
    </row>
    <row r="285" spans="7:8">
      <c r="G285" s="3"/>
      <c r="H285" s="3"/>
    </row>
    <row r="286" spans="7:8">
      <c r="G286" s="3"/>
      <c r="H286" s="3"/>
    </row>
    <row r="287" spans="7:8">
      <c r="G287" s="3"/>
      <c r="H287" s="3"/>
    </row>
    <row r="288" spans="7:8">
      <c r="G288" s="3"/>
      <c r="H288" s="3"/>
    </row>
    <row r="289" spans="7:8">
      <c r="G289" s="3"/>
      <c r="H289" s="3"/>
    </row>
    <row r="290" spans="7:8">
      <c r="G290" s="3"/>
      <c r="H290" s="3"/>
    </row>
    <row r="291" spans="7:8">
      <c r="G291" s="3"/>
      <c r="H291" s="3"/>
    </row>
    <row r="292" spans="7:8">
      <c r="G292" s="3"/>
      <c r="H292" s="3"/>
    </row>
    <row r="293" spans="7:8">
      <c r="G293" s="3"/>
      <c r="H293" s="3"/>
    </row>
    <row r="294" spans="7:8">
      <c r="G294" s="3"/>
      <c r="H294" s="3"/>
    </row>
    <row r="295" spans="7:8">
      <c r="G295" s="3"/>
      <c r="H295" s="3"/>
    </row>
    <row r="296" spans="7:8">
      <c r="G296" s="3"/>
      <c r="H296" s="3"/>
    </row>
    <row r="297" spans="7:8">
      <c r="G297" s="3"/>
      <c r="H297" s="3"/>
    </row>
    <row r="298" spans="7:8">
      <c r="G298" s="3"/>
      <c r="H298" s="3"/>
    </row>
    <row r="299" spans="7:8">
      <c r="G299" s="3"/>
    </row>
    <row r="300" spans="7:8">
      <c r="G300" s="3"/>
      <c r="H300" s="3"/>
    </row>
    <row r="301" spans="7:8">
      <c r="G301" s="3"/>
      <c r="H301" s="3"/>
    </row>
    <row r="302" spans="7:8">
      <c r="G302" s="3"/>
      <c r="H302" s="3"/>
    </row>
    <row r="303" spans="7:8">
      <c r="G303" s="3"/>
      <c r="H303" s="3"/>
    </row>
    <row r="304" spans="7:8">
      <c r="G304" s="3"/>
      <c r="H304" s="3"/>
    </row>
    <row r="307" spans="7:8">
      <c r="G307" s="3"/>
      <c r="H307" s="3"/>
    </row>
    <row r="308" spans="7:8">
      <c r="G308" s="3"/>
      <c r="H308" s="3"/>
    </row>
    <row r="309" spans="7:8">
      <c r="G309" s="3"/>
      <c r="H309" s="3"/>
    </row>
    <row r="310" spans="7:8">
      <c r="G310" s="3"/>
      <c r="H310" s="3"/>
    </row>
    <row r="311" spans="7:8">
      <c r="G311" s="3"/>
      <c r="H311" s="3"/>
    </row>
    <row r="312" spans="7:8">
      <c r="G312" s="3"/>
    </row>
    <row r="313" spans="7:8">
      <c r="G313" s="3"/>
      <c r="H313" s="3"/>
    </row>
    <row r="314" spans="7:8">
      <c r="G314" s="3"/>
      <c r="H314" s="3"/>
    </row>
    <row r="315" spans="7:8">
      <c r="G315" s="3"/>
      <c r="H315" s="3"/>
    </row>
    <row r="316" spans="7:8">
      <c r="G316" s="3"/>
      <c r="H316" s="3"/>
    </row>
    <row r="317" spans="7:8">
      <c r="G317" s="3"/>
      <c r="H317" s="3"/>
    </row>
    <row r="318" spans="7:8">
      <c r="G318" s="3"/>
      <c r="H318" s="3"/>
    </row>
    <row r="319" spans="7:8">
      <c r="G319" s="3"/>
      <c r="H319" s="3"/>
    </row>
  </sheetData>
  <mergeCells count="3">
    <mergeCell ref="I3:M57"/>
    <mergeCell ref="A58:M60"/>
    <mergeCell ref="D61:G78"/>
  </mergeCells>
  <dataValidations count="6">
    <dataValidation allowBlank="1" showInputMessage="1" showErrorMessage="1" promptTitle="注意，此处是初步标签" prompt="注意，此处是初步标签" sqref="G1 H21 G206:H206 G220:H220 G228:H228 G229 G230:H230 G240:H240 H252 G257:H257 G264:H264 G272:H272 G294:H294 G298:H298 G310:H310 G3:G205 G207:G219 G221:G227 G231:G239 G241:G244 G246:G251 G253:G256 G258:G263 G265:G271 G280:G293 G295:G297 G299:G304 G307:G309 G311:G1048576"/>
    <dataValidation allowBlank="1" showInputMessage="1" showErrorMessage="1" promptTitle="注意，这个是研判后标签" prompt="注意，这个是研判后标签" sqref="H1 H229 H274 H311 H3:H20 H22:H37 H39:H43 H45:H57 H78:H205 H207:H219 H221:H227 H231:H239 H241:H251 H253:H256 H258:H263 H265:H271 H280:H293 H295:H297 H299:H304 H307:H309 H313:H314 H316:H1048576"/>
    <dataValidation type="list" allowBlank="1" showInputMessage="1" showErrorMessage="1" sqref="B3:B1048576">
      <formula1>"user,worker,tech,gov"</formula1>
    </dataValidation>
    <dataValidation type="list" allowBlank="1" showInputMessage="1" showErrorMessage="1" sqref="C3:C1048576">
      <formula1>"P.R. China,United States,European Union,Kenya"</formula1>
    </dataValidation>
    <dataValidation type="list" allowBlank="1" showInputMessage="1" showErrorMessage="1" sqref="D3:D57 D78:E1048576">
      <formula1>"DeepSeek Reasoner V3.2,OpenAI ChatGPT 5.4 Pro,Google Gemini 3.1 Pro Preview,Doubao Seed 2.0 Pro"</formula1>
    </dataValidation>
    <dataValidation type="list" allowBlank="1" showInputMessage="1" showErrorMessage="1" sqref="M3:M1048576">
      <formula1>"1(4/4),0.75(3/4),0.6(2/4+votepass),0.4(2/4+votedenied),0.25(1/4)"</formula1>
    </dataValidation>
  </dataValidations>
  <pageMargins left="0.75" right="0.75" top="1" bottom="1" header="0.5" footer="0.5"/>
  <headerFooter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7"/>
  <sheetViews>
    <sheetView zoomScale="85" zoomScaleNormal="85" workbookViewId="0">
      <pane ySplit="2" topLeftCell="A3" activePane="bottomLeft" state="frozen"/>
      <selection/>
      <selection pane="bottomLeft" activeCell="I80" sqref="I80"/>
    </sheetView>
  </sheetViews>
  <sheetFormatPr defaultColWidth="8.61261261261261" defaultRowHeight="14.1"/>
  <cols>
    <col min="1" max="1" width="20.7117117117117" customWidth="1"/>
    <col min="2" max="2" width="11.7027027027027" customWidth="1"/>
    <col min="3" max="3" width="19.5495495495495" customWidth="1"/>
    <col min="4" max="4" width="25.1621621621622" customWidth="1"/>
    <col min="5" max="5" width="9.46846846846847" customWidth="1"/>
    <col min="6" max="6" width="12.8558558558559" customWidth="1"/>
    <col min="7" max="7" width="30.4144144144144" customWidth="1"/>
    <col min="8" max="8" width="34.0810810810811" customWidth="1"/>
    <col min="9" max="9" width="11.7027027027027" customWidth="1"/>
    <col min="10" max="10" width="13.9369369369369" customWidth="1"/>
    <col min="11" max="11" width="11.7027027027027" customWidth="1"/>
    <col min="12" max="12" width="20.7117117117117" customWidth="1"/>
    <col min="13" max="13" width="17.3243243243243" customWidth="1"/>
  </cols>
  <sheetData>
    <row r="1" spans="1:13">
      <c r="A1" s="3" t="s">
        <v>6</v>
      </c>
      <c r="B1" s="3" t="s">
        <v>266</v>
      </c>
      <c r="C1" s="3" t="s">
        <v>267</v>
      </c>
      <c r="D1" s="3" t="s">
        <v>268</v>
      </c>
      <c r="E1" s="3" t="s">
        <v>497</v>
      </c>
      <c r="F1" s="3" t="s">
        <v>269</v>
      </c>
      <c r="G1" s="3" t="s">
        <v>270</v>
      </c>
      <c r="H1" s="3" t="s">
        <v>271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</row>
    <row r="2" spans="1:13">
      <c r="A2" s="3" t="s">
        <v>272</v>
      </c>
      <c r="B2" s="3" t="s">
        <v>272</v>
      </c>
      <c r="C2" s="3" t="s">
        <v>272</v>
      </c>
      <c r="D2" s="3" t="s">
        <v>272</v>
      </c>
      <c r="E2" s="3"/>
      <c r="F2" s="3" t="str">
        <f t="shared" ref="F2:F60" si="0">IF(OR(D2="Doubao Seed 2.0 Pro",D2="DeepSeek Reasoner V3.2"),"China","US")</f>
        <v>US</v>
      </c>
      <c r="G2" s="3" t="s">
        <v>272</v>
      </c>
      <c r="H2" s="3" t="s">
        <v>272</v>
      </c>
      <c r="I2" s="3" t="s">
        <v>272</v>
      </c>
      <c r="J2" s="3">
        <f ca="1">RANDBETWEEN(10000,99999)</f>
        <v>28859</v>
      </c>
      <c r="K2" s="3" t="str">
        <f ca="1">IF(MOD(J2,2)=0,"China-backup","US-backup")</f>
        <v>US-backup</v>
      </c>
      <c r="L2" s="3" t="s">
        <v>272</v>
      </c>
      <c r="M2" s="3" t="s">
        <v>272</v>
      </c>
    </row>
    <row r="3" spans="1:13">
      <c r="A3" s="3" t="str">
        <f t="shared" ref="A3:A60" si="1">C3&amp;"-"&amp;B3</f>
        <v>Kenya-gov</v>
      </c>
      <c r="B3" s="3" t="s">
        <v>21</v>
      </c>
      <c r="C3" s="3" t="s">
        <v>35</v>
      </c>
      <c r="D3" s="3" t="s">
        <v>273</v>
      </c>
      <c r="E3" s="3" cm="1">
        <f t="array" ref="E3">_xlfn.IFS(D3="Doubao Seed 2.0 Pro",1,D3="Deepseek Reasoner V3.2",2,D3="Google Gemini 3.1 Pro Preview",3,D3="OpenAI ChatGPT 5.4 Pro",4)</f>
        <v>1</v>
      </c>
      <c r="F3" s="3" t="str">
        <f t="shared" si="0"/>
        <v>China</v>
      </c>
      <c r="G3" s="3" t="s">
        <v>325</v>
      </c>
      <c r="H3" s="3" t="s">
        <v>122</v>
      </c>
      <c r="I3" s="4" t="s">
        <v>197</v>
      </c>
      <c r="J3" s="4"/>
      <c r="K3" s="4"/>
      <c r="L3" s="4"/>
      <c r="M3" s="4"/>
    </row>
    <row r="4" spans="1:13">
      <c r="A4" s="3" t="str">
        <f t="shared" si="1"/>
        <v>Kenya-gov</v>
      </c>
      <c r="B4" s="3" t="s">
        <v>21</v>
      </c>
      <c r="C4" s="3" t="s">
        <v>35</v>
      </c>
      <c r="D4" s="3" t="s">
        <v>273</v>
      </c>
      <c r="E4" s="3" cm="1">
        <f t="array" ref="E4">_xlfn.IFS(D4="Doubao Seed 2.0 Pro",1,D4="Deepseek Reasoner V3.2",2,D4="Google Gemini 3.1 Pro Preview",3,D4="OpenAI ChatGPT 5.4 Pro",4)</f>
        <v>1</v>
      </c>
      <c r="F4" s="3" t="str">
        <f t="shared" si="0"/>
        <v>China</v>
      </c>
      <c r="G4" s="3" t="s">
        <v>509</v>
      </c>
      <c r="H4" s="3" t="s">
        <v>125</v>
      </c>
      <c r="I4" s="4"/>
      <c r="J4" s="4"/>
      <c r="K4" s="4"/>
      <c r="L4" s="4"/>
      <c r="M4" s="4"/>
    </row>
    <row r="5" spans="1:13">
      <c r="A5" s="3" t="str">
        <f t="shared" si="1"/>
        <v>Kenya-gov</v>
      </c>
      <c r="B5" s="3" t="s">
        <v>21</v>
      </c>
      <c r="C5" s="3" t="s">
        <v>35</v>
      </c>
      <c r="D5" s="3" t="s">
        <v>273</v>
      </c>
      <c r="E5" s="3" cm="1">
        <f t="array" ref="E5">_xlfn.IFS(D5="Doubao Seed 2.0 Pro",1,D5="Deepseek Reasoner V3.2",2,D5="Google Gemini 3.1 Pro Preview",3,D5="OpenAI ChatGPT 5.4 Pro",4)</f>
        <v>1</v>
      </c>
      <c r="F5" s="3" t="str">
        <f t="shared" si="0"/>
        <v>China</v>
      </c>
      <c r="G5" s="3" t="s">
        <v>418</v>
      </c>
      <c r="H5" s="3" t="s">
        <v>123</v>
      </c>
      <c r="I5" s="4"/>
      <c r="J5" s="4"/>
      <c r="K5" s="4"/>
      <c r="L5" s="4"/>
      <c r="M5" s="4"/>
    </row>
    <row r="6" spans="1:13">
      <c r="A6" s="3" t="str">
        <f t="shared" si="1"/>
        <v>Kenya-gov</v>
      </c>
      <c r="B6" s="3" t="s">
        <v>21</v>
      </c>
      <c r="C6" s="3" t="s">
        <v>35</v>
      </c>
      <c r="D6" s="3" t="s">
        <v>273</v>
      </c>
      <c r="E6" s="3" cm="1">
        <f t="array" ref="E6">_xlfn.IFS(D6="Doubao Seed 2.0 Pro",1,D6="Deepseek Reasoner V3.2",2,D6="Google Gemini 3.1 Pro Preview",3,D6="OpenAI ChatGPT 5.4 Pro",4)</f>
        <v>1</v>
      </c>
      <c r="F6" s="3" t="str">
        <f t="shared" si="0"/>
        <v>China</v>
      </c>
      <c r="G6" s="3" t="s">
        <v>121</v>
      </c>
      <c r="H6" s="3" t="s">
        <v>121</v>
      </c>
      <c r="I6" s="4"/>
      <c r="J6" s="4"/>
      <c r="K6" s="4"/>
      <c r="L6" s="4"/>
      <c r="M6" s="4"/>
    </row>
    <row r="7" spans="1:13">
      <c r="A7" s="3" t="str">
        <f t="shared" si="1"/>
        <v>Kenya-gov</v>
      </c>
      <c r="B7" s="3" t="s">
        <v>21</v>
      </c>
      <c r="C7" s="3" t="s">
        <v>35</v>
      </c>
      <c r="D7" s="3" t="s">
        <v>273</v>
      </c>
      <c r="E7" s="3" cm="1">
        <f t="array" ref="E7">_xlfn.IFS(D7="Doubao Seed 2.0 Pro",1,D7="Deepseek Reasoner V3.2",2,D7="Google Gemini 3.1 Pro Preview",3,D7="OpenAI ChatGPT 5.4 Pro",4)</f>
        <v>1</v>
      </c>
      <c r="F7" s="3" t="str">
        <f t="shared" si="0"/>
        <v>China</v>
      </c>
      <c r="G7" s="3" t="s">
        <v>510</v>
      </c>
      <c r="H7" s="3" t="s">
        <v>116</v>
      </c>
      <c r="I7" s="4"/>
      <c r="J7" s="4"/>
      <c r="K7" s="4"/>
      <c r="L7" s="4"/>
      <c r="M7" s="4"/>
    </row>
    <row r="8" spans="1:13">
      <c r="A8" s="3" t="str">
        <f t="shared" si="1"/>
        <v>Kenya-gov</v>
      </c>
      <c r="B8" s="3" t="s">
        <v>21</v>
      </c>
      <c r="C8" s="3" t="s">
        <v>35</v>
      </c>
      <c r="D8" s="3" t="s">
        <v>273</v>
      </c>
      <c r="E8" s="3" cm="1">
        <f t="array" ref="E8">_xlfn.IFS(D8="Doubao Seed 2.0 Pro",1,D8="Deepseek Reasoner V3.2",2,D8="Google Gemini 3.1 Pro Preview",3,D8="OpenAI ChatGPT 5.4 Pro",4)</f>
        <v>1</v>
      </c>
      <c r="F8" s="3" t="str">
        <f t="shared" si="0"/>
        <v>China</v>
      </c>
      <c r="G8" s="3" t="s">
        <v>511</v>
      </c>
      <c r="H8" s="3" t="s">
        <v>99</v>
      </c>
      <c r="I8" s="4"/>
      <c r="J8" s="4"/>
      <c r="K8" s="4"/>
      <c r="L8" s="4"/>
      <c r="M8" s="4"/>
    </row>
    <row r="9" spans="1:13">
      <c r="A9" s="3" t="str">
        <f t="shared" si="1"/>
        <v>Kenya-gov</v>
      </c>
      <c r="B9" s="3" t="s">
        <v>21</v>
      </c>
      <c r="C9" s="3" t="s">
        <v>35</v>
      </c>
      <c r="D9" s="3" t="s">
        <v>273</v>
      </c>
      <c r="E9" s="3" cm="1">
        <f t="array" ref="E9">_xlfn.IFS(D9="Doubao Seed 2.0 Pro",1,D9="Deepseek Reasoner V3.2",2,D9="Google Gemini 3.1 Pro Preview",3,D9="OpenAI ChatGPT 5.4 Pro",4)</f>
        <v>1</v>
      </c>
      <c r="F9" s="3" t="str">
        <f t="shared" si="0"/>
        <v>China</v>
      </c>
      <c r="G9" s="3" t="s">
        <v>512</v>
      </c>
      <c r="H9" s="3" t="s">
        <v>126</v>
      </c>
      <c r="I9" s="4"/>
      <c r="J9" s="4"/>
      <c r="K9" s="4"/>
      <c r="L9" s="4"/>
      <c r="M9" s="4"/>
    </row>
    <row r="10" spans="1:13">
      <c r="A10" s="3" t="str">
        <f t="shared" si="1"/>
        <v>Kenya-gov</v>
      </c>
      <c r="B10" s="3" t="s">
        <v>21</v>
      </c>
      <c r="C10" s="3" t="s">
        <v>35</v>
      </c>
      <c r="D10" s="3" t="s">
        <v>273</v>
      </c>
      <c r="E10" s="3" cm="1">
        <f t="array" ref="E10">_xlfn.IFS(D10="Doubao Seed 2.0 Pro",1,D10="Deepseek Reasoner V3.2",2,D10="Google Gemini 3.1 Pro Preview",3,D10="OpenAI ChatGPT 5.4 Pro",4)</f>
        <v>1</v>
      </c>
      <c r="F10" s="3" t="str">
        <f t="shared" si="0"/>
        <v>China</v>
      </c>
      <c r="G10" s="3" t="s">
        <v>500</v>
      </c>
      <c r="H10" s="3" t="s">
        <v>125</v>
      </c>
      <c r="I10" s="4"/>
      <c r="J10" s="4"/>
      <c r="K10" s="4"/>
      <c r="L10" s="4"/>
      <c r="M10" s="4"/>
    </row>
    <row r="11" spans="1:13">
      <c r="A11" s="3" t="str">
        <f t="shared" si="1"/>
        <v>Kenya-gov</v>
      </c>
      <c r="B11" s="3" t="s">
        <v>21</v>
      </c>
      <c r="C11" s="3" t="s">
        <v>35</v>
      </c>
      <c r="D11" s="3" t="s">
        <v>273</v>
      </c>
      <c r="E11" s="3" cm="1">
        <f t="array" ref="E11">_xlfn.IFS(D11="Doubao Seed 2.0 Pro",1,D11="Deepseek Reasoner V3.2",2,D11="Google Gemini 3.1 Pro Preview",3,D11="OpenAI ChatGPT 5.4 Pro",4)</f>
        <v>1</v>
      </c>
      <c r="F11" s="3" t="str">
        <f t="shared" si="0"/>
        <v>China</v>
      </c>
      <c r="G11" s="3" t="s">
        <v>400</v>
      </c>
      <c r="H11" s="3" t="s">
        <v>95</v>
      </c>
      <c r="I11" s="4"/>
      <c r="J11" s="4"/>
      <c r="K11" s="4"/>
      <c r="L11" s="4"/>
      <c r="M11" s="4"/>
    </row>
    <row r="12" spans="1:13">
      <c r="A12" s="3" t="str">
        <f t="shared" si="1"/>
        <v>Kenya-gov</v>
      </c>
      <c r="B12" s="3" t="s">
        <v>21</v>
      </c>
      <c r="C12" s="3" t="s">
        <v>35</v>
      </c>
      <c r="D12" s="3" t="s">
        <v>273</v>
      </c>
      <c r="E12" s="3" cm="1">
        <f t="array" ref="E12">_xlfn.IFS(D12="Doubao Seed 2.0 Pro",1,D12="Deepseek Reasoner V3.2",2,D12="Google Gemini 3.1 Pro Preview",3,D12="OpenAI ChatGPT 5.4 Pro",4)</f>
        <v>1</v>
      </c>
      <c r="F12" s="3" t="str">
        <f t="shared" si="0"/>
        <v>China</v>
      </c>
      <c r="G12" s="3" t="s">
        <v>505</v>
      </c>
      <c r="H12" s="3" t="s">
        <v>116</v>
      </c>
      <c r="I12" s="4"/>
      <c r="J12" s="4"/>
      <c r="K12" s="4"/>
      <c r="L12" s="4"/>
      <c r="M12" s="4"/>
    </row>
    <row r="13" spans="1:13">
      <c r="A13" s="3" t="str">
        <f t="shared" si="1"/>
        <v>Kenya-gov</v>
      </c>
      <c r="B13" s="3" t="s">
        <v>21</v>
      </c>
      <c r="C13" s="3" t="s">
        <v>35</v>
      </c>
      <c r="D13" s="3" t="s">
        <v>273</v>
      </c>
      <c r="E13" s="3" cm="1">
        <f t="array" ref="E13">_xlfn.IFS(D13="Doubao Seed 2.0 Pro",1,D13="Deepseek Reasoner V3.2",2,D13="Google Gemini 3.1 Pro Preview",3,D13="OpenAI ChatGPT 5.4 Pro",4)</f>
        <v>1</v>
      </c>
      <c r="F13" s="3" t="str">
        <f t="shared" si="0"/>
        <v>China</v>
      </c>
      <c r="G13" s="3" t="s">
        <v>435</v>
      </c>
      <c r="H13" s="3" t="s">
        <v>116</v>
      </c>
      <c r="I13" s="4"/>
      <c r="J13" s="4"/>
      <c r="K13" s="4"/>
      <c r="L13" s="4"/>
      <c r="M13" s="4"/>
    </row>
    <row r="14" spans="1:13">
      <c r="A14" s="3" t="str">
        <f t="shared" si="1"/>
        <v>Kenya-gov</v>
      </c>
      <c r="B14" s="3" t="s">
        <v>21</v>
      </c>
      <c r="C14" s="3" t="s">
        <v>35</v>
      </c>
      <c r="D14" s="3" t="s">
        <v>273</v>
      </c>
      <c r="E14" s="3" cm="1">
        <f t="array" ref="E14">_xlfn.IFS(D14="Doubao Seed 2.0 Pro",1,D14="Deepseek Reasoner V3.2",2,D14="Google Gemini 3.1 Pro Preview",3,D14="OpenAI ChatGPT 5.4 Pro",4)</f>
        <v>1</v>
      </c>
      <c r="F14" s="3" t="str">
        <f t="shared" si="0"/>
        <v>China</v>
      </c>
      <c r="G14" s="3" t="s">
        <v>490</v>
      </c>
      <c r="H14" s="3" t="s">
        <v>100</v>
      </c>
      <c r="I14" s="4"/>
      <c r="J14" s="4"/>
      <c r="K14" s="4"/>
      <c r="L14" s="4"/>
      <c r="M14" s="4"/>
    </row>
    <row r="15" spans="1:13">
      <c r="A15" s="3" t="str">
        <f t="shared" si="1"/>
        <v>Kenya-gov</v>
      </c>
      <c r="B15" s="3" t="s">
        <v>21</v>
      </c>
      <c r="C15" s="3" t="s">
        <v>35</v>
      </c>
      <c r="D15" s="3" t="s">
        <v>273</v>
      </c>
      <c r="E15" s="3" cm="1">
        <f t="array" ref="E15">_xlfn.IFS(D15="Doubao Seed 2.0 Pro",1,D15="Deepseek Reasoner V3.2",2,D15="Google Gemini 3.1 Pro Preview",3,D15="OpenAI ChatGPT 5.4 Pro",4)</f>
        <v>1</v>
      </c>
      <c r="F15" s="3" t="str">
        <f t="shared" si="0"/>
        <v>China</v>
      </c>
      <c r="G15" s="3" t="s">
        <v>129</v>
      </c>
      <c r="H15" s="3" t="s">
        <v>129</v>
      </c>
      <c r="I15" s="4"/>
      <c r="J15" s="4"/>
      <c r="K15" s="4"/>
      <c r="L15" s="4"/>
      <c r="M15" s="4"/>
    </row>
    <row r="16" spans="1:13">
      <c r="A16" s="3" t="str">
        <f t="shared" si="1"/>
        <v>Kenya-gov</v>
      </c>
      <c r="B16" s="3" t="s">
        <v>21</v>
      </c>
      <c r="C16" s="3" t="s">
        <v>35</v>
      </c>
      <c r="D16" s="3" t="s">
        <v>273</v>
      </c>
      <c r="E16" s="3" cm="1">
        <f t="array" ref="E16">_xlfn.IFS(D16="Doubao Seed 2.0 Pro",1,D16="Deepseek Reasoner V3.2",2,D16="Google Gemini 3.1 Pro Preview",3,D16="OpenAI ChatGPT 5.4 Pro",4)</f>
        <v>1</v>
      </c>
      <c r="F16" s="3" t="str">
        <f t="shared" si="0"/>
        <v>China</v>
      </c>
      <c r="G16" s="3" t="s">
        <v>304</v>
      </c>
      <c r="H16" s="3" t="s">
        <v>93</v>
      </c>
      <c r="I16" s="4"/>
      <c r="J16" s="4"/>
      <c r="K16" s="4"/>
      <c r="L16" s="4"/>
      <c r="M16" s="4"/>
    </row>
    <row r="17" spans="1:13">
      <c r="A17" s="3" t="str">
        <f t="shared" si="1"/>
        <v>Kenya-gov</v>
      </c>
      <c r="B17" s="3" t="s">
        <v>21</v>
      </c>
      <c r="C17" s="3" t="s">
        <v>35</v>
      </c>
      <c r="D17" s="3" t="s">
        <v>273</v>
      </c>
      <c r="E17" s="3" cm="1">
        <f t="array" ref="E17">_xlfn.IFS(D17="Doubao Seed 2.0 Pro",1,D17="Deepseek Reasoner V3.2",2,D17="Google Gemini 3.1 Pro Preview",3,D17="OpenAI ChatGPT 5.4 Pro",4)</f>
        <v>1</v>
      </c>
      <c r="F17" s="3" t="str">
        <f t="shared" si="0"/>
        <v>China</v>
      </c>
      <c r="G17" s="3" t="s">
        <v>394</v>
      </c>
      <c r="H17" s="3" t="s">
        <v>85</v>
      </c>
      <c r="I17" s="4"/>
      <c r="J17" s="4"/>
      <c r="K17" s="4"/>
      <c r="L17" s="4"/>
      <c r="M17" s="4"/>
    </row>
    <row r="18" spans="1:13">
      <c r="A18" s="3" t="str">
        <f t="shared" si="1"/>
        <v>Kenya-gov</v>
      </c>
      <c r="B18" s="3" t="s">
        <v>21</v>
      </c>
      <c r="C18" s="3" t="s">
        <v>35</v>
      </c>
      <c r="D18" s="3" t="s">
        <v>273</v>
      </c>
      <c r="E18" s="3" cm="1">
        <f t="array" ref="E18">_xlfn.IFS(D18="Doubao Seed 2.0 Pro",1,D18="Deepseek Reasoner V3.2",2,D18="Google Gemini 3.1 Pro Preview",3,D18="OpenAI ChatGPT 5.4 Pro",4)</f>
        <v>1</v>
      </c>
      <c r="F18" s="3" t="str">
        <f t="shared" si="0"/>
        <v>China</v>
      </c>
      <c r="G18" s="3" t="s">
        <v>376</v>
      </c>
      <c r="H18" s="3" t="s">
        <v>121</v>
      </c>
      <c r="I18" s="4"/>
      <c r="J18" s="4"/>
      <c r="K18" s="4"/>
      <c r="L18" s="4"/>
      <c r="M18" s="4"/>
    </row>
    <row r="19" spans="1:13">
      <c r="A19" s="3" t="str">
        <f t="shared" si="1"/>
        <v>Kenya-gov</v>
      </c>
      <c r="B19" s="3" t="s">
        <v>21</v>
      </c>
      <c r="C19" s="3" t="s">
        <v>35</v>
      </c>
      <c r="D19" s="3" t="s">
        <v>297</v>
      </c>
      <c r="E19" s="3" cm="1">
        <f t="array" ref="E19">_xlfn.IFS(D19="Doubao Seed 2.0 Pro",1,D19="Deepseek Reasoner V3.2",2,D19="Google Gemini 3.1 Pro Preview",3,D19="OpenAI ChatGPT 5.4 Pro",4)</f>
        <v>2</v>
      </c>
      <c r="F19" s="3" t="str">
        <f t="shared" si="0"/>
        <v>China</v>
      </c>
      <c r="G19" s="3" t="s">
        <v>500</v>
      </c>
      <c r="H19" s="3" t="s">
        <v>125</v>
      </c>
      <c r="I19" s="4"/>
      <c r="J19" s="4"/>
      <c r="K19" s="4"/>
      <c r="L19" s="4"/>
      <c r="M19" s="4"/>
    </row>
    <row r="20" spans="1:13">
      <c r="A20" s="3" t="str">
        <f t="shared" si="1"/>
        <v>Kenya-gov</v>
      </c>
      <c r="B20" s="3" t="s">
        <v>21</v>
      </c>
      <c r="C20" s="3" t="s">
        <v>35</v>
      </c>
      <c r="D20" s="3" t="s">
        <v>297</v>
      </c>
      <c r="E20" s="3" cm="1">
        <f t="array" ref="E20">_xlfn.IFS(D20="Doubao Seed 2.0 Pro",1,D20="Deepseek Reasoner V3.2",2,D20="Google Gemini 3.1 Pro Preview",3,D20="OpenAI ChatGPT 5.4 Pro",4)</f>
        <v>2</v>
      </c>
      <c r="F20" s="3" t="str">
        <f t="shared" si="0"/>
        <v>China</v>
      </c>
      <c r="G20" s="3" t="s">
        <v>509</v>
      </c>
      <c r="H20" s="3" t="s">
        <v>125</v>
      </c>
      <c r="I20" s="4"/>
      <c r="J20" s="4"/>
      <c r="K20" s="4"/>
      <c r="L20" s="4"/>
      <c r="M20" s="4"/>
    </row>
    <row r="21" spans="1:13">
      <c r="A21" s="3" t="str">
        <f t="shared" si="1"/>
        <v>Kenya-gov</v>
      </c>
      <c r="B21" s="3" t="s">
        <v>21</v>
      </c>
      <c r="C21" s="3" t="s">
        <v>35</v>
      </c>
      <c r="D21" s="3" t="s">
        <v>297</v>
      </c>
      <c r="E21" s="3" cm="1">
        <f t="array" ref="E21">_xlfn.IFS(D21="Doubao Seed 2.0 Pro",1,D21="Deepseek Reasoner V3.2",2,D21="Google Gemini 3.1 Pro Preview",3,D21="OpenAI ChatGPT 5.4 Pro",4)</f>
        <v>2</v>
      </c>
      <c r="F21" s="3" t="str">
        <f t="shared" si="0"/>
        <v>China</v>
      </c>
      <c r="G21" s="3" t="s">
        <v>418</v>
      </c>
      <c r="H21" s="3" t="s">
        <v>123</v>
      </c>
      <c r="I21" s="4"/>
      <c r="J21" s="4"/>
      <c r="K21" s="4"/>
      <c r="L21" s="4"/>
      <c r="M21" s="4"/>
    </row>
    <row r="22" spans="1:13">
      <c r="A22" s="3" t="str">
        <f t="shared" si="1"/>
        <v>Kenya-gov</v>
      </c>
      <c r="B22" s="3" t="s">
        <v>21</v>
      </c>
      <c r="C22" s="3" t="s">
        <v>35</v>
      </c>
      <c r="D22" s="3" t="s">
        <v>297</v>
      </c>
      <c r="E22" s="3" cm="1">
        <f t="array" ref="E22">_xlfn.IFS(D22="Doubao Seed 2.0 Pro",1,D22="Deepseek Reasoner V3.2",2,D22="Google Gemini 3.1 Pro Preview",3,D22="OpenAI ChatGPT 5.4 Pro",4)</f>
        <v>2</v>
      </c>
      <c r="F22" s="3" t="str">
        <f t="shared" si="0"/>
        <v>China</v>
      </c>
      <c r="G22" s="3" t="s">
        <v>316</v>
      </c>
      <c r="H22" s="3" t="s">
        <v>100</v>
      </c>
      <c r="I22" s="4"/>
      <c r="J22" s="4"/>
      <c r="K22" s="4"/>
      <c r="L22" s="4"/>
      <c r="M22" s="4"/>
    </row>
    <row r="23" spans="1:13">
      <c r="A23" s="3" t="str">
        <f t="shared" si="1"/>
        <v>Kenya-gov</v>
      </c>
      <c r="B23" s="3" t="s">
        <v>21</v>
      </c>
      <c r="C23" s="3" t="s">
        <v>35</v>
      </c>
      <c r="D23" s="3" t="s">
        <v>297</v>
      </c>
      <c r="E23" s="3" cm="1">
        <f t="array" ref="E23">_xlfn.IFS(D23="Doubao Seed 2.0 Pro",1,D23="Deepseek Reasoner V3.2",2,D23="Google Gemini 3.1 Pro Preview",3,D23="OpenAI ChatGPT 5.4 Pro",4)</f>
        <v>2</v>
      </c>
      <c r="F23" s="3" t="str">
        <f t="shared" si="0"/>
        <v>China</v>
      </c>
      <c r="G23" s="3" t="s">
        <v>129</v>
      </c>
      <c r="H23" s="3" t="s">
        <v>129</v>
      </c>
      <c r="I23" s="4"/>
      <c r="J23" s="4"/>
      <c r="K23" s="4"/>
      <c r="L23" s="4"/>
      <c r="M23" s="4"/>
    </row>
    <row r="24" spans="1:13">
      <c r="A24" s="3" t="str">
        <f t="shared" si="1"/>
        <v>Kenya-gov</v>
      </c>
      <c r="B24" s="3" t="s">
        <v>21</v>
      </c>
      <c r="C24" s="3" t="s">
        <v>35</v>
      </c>
      <c r="D24" s="3" t="s">
        <v>297</v>
      </c>
      <c r="E24" s="3" cm="1">
        <f t="array" ref="E24">_xlfn.IFS(D24="Doubao Seed 2.0 Pro",1,D24="Deepseek Reasoner V3.2",2,D24="Google Gemini 3.1 Pro Preview",3,D24="OpenAI ChatGPT 5.4 Pro",4)</f>
        <v>2</v>
      </c>
      <c r="F24" s="3" t="str">
        <f t="shared" si="0"/>
        <v>China</v>
      </c>
      <c r="G24" s="3" t="s">
        <v>511</v>
      </c>
      <c r="H24" s="3" t="s">
        <v>99</v>
      </c>
      <c r="I24" s="4"/>
      <c r="J24" s="4"/>
      <c r="K24" s="4"/>
      <c r="L24" s="4"/>
      <c r="M24" s="4"/>
    </row>
    <row r="25" spans="1:13">
      <c r="A25" s="3" t="str">
        <f t="shared" si="1"/>
        <v>Kenya-gov</v>
      </c>
      <c r="B25" s="3" t="s">
        <v>21</v>
      </c>
      <c r="C25" s="3" t="s">
        <v>35</v>
      </c>
      <c r="D25" s="3" t="s">
        <v>297</v>
      </c>
      <c r="E25" s="3" cm="1">
        <f t="array" ref="E25">_xlfn.IFS(D25="Doubao Seed 2.0 Pro",1,D25="Deepseek Reasoner V3.2",2,D25="Google Gemini 3.1 Pro Preview",3,D25="OpenAI ChatGPT 5.4 Pro",4)</f>
        <v>2</v>
      </c>
      <c r="F25" s="3" t="str">
        <f t="shared" si="0"/>
        <v>China</v>
      </c>
      <c r="G25" s="3" t="s">
        <v>400</v>
      </c>
      <c r="H25" s="3" t="s">
        <v>95</v>
      </c>
      <c r="I25" s="4"/>
      <c r="J25" s="4"/>
      <c r="K25" s="4"/>
      <c r="L25" s="4"/>
      <c r="M25" s="4"/>
    </row>
    <row r="26" spans="1:13">
      <c r="A26" s="3" t="str">
        <f t="shared" si="1"/>
        <v>Kenya-gov</v>
      </c>
      <c r="B26" s="3" t="s">
        <v>21</v>
      </c>
      <c r="C26" s="3" t="s">
        <v>35</v>
      </c>
      <c r="D26" s="3" t="s">
        <v>297</v>
      </c>
      <c r="E26" s="3" cm="1">
        <f t="array" ref="E26">_xlfn.IFS(D26="Doubao Seed 2.0 Pro",1,D26="Deepseek Reasoner V3.2",2,D26="Google Gemini 3.1 Pro Preview",3,D26="OpenAI ChatGPT 5.4 Pro",4)</f>
        <v>2</v>
      </c>
      <c r="F26" s="3" t="str">
        <f t="shared" si="0"/>
        <v>China</v>
      </c>
      <c r="G26" s="3" t="s">
        <v>512</v>
      </c>
      <c r="H26" s="3" t="s">
        <v>126</v>
      </c>
      <c r="I26" s="4"/>
      <c r="J26" s="4"/>
      <c r="K26" s="4"/>
      <c r="L26" s="4"/>
      <c r="M26" s="4"/>
    </row>
    <row r="27" spans="1:13">
      <c r="A27" s="3" t="str">
        <f t="shared" si="1"/>
        <v>Kenya-gov</v>
      </c>
      <c r="B27" s="3" t="s">
        <v>21</v>
      </c>
      <c r="C27" s="3" t="s">
        <v>35</v>
      </c>
      <c r="D27" s="3" t="s">
        <v>297</v>
      </c>
      <c r="E27" s="3" cm="1">
        <f t="array" ref="E27">_xlfn.IFS(D27="Doubao Seed 2.0 Pro",1,D27="Deepseek Reasoner V3.2",2,D27="Google Gemini 3.1 Pro Preview",3,D27="OpenAI ChatGPT 5.4 Pro",4)</f>
        <v>2</v>
      </c>
      <c r="F27" s="3" t="str">
        <f t="shared" si="0"/>
        <v>China</v>
      </c>
      <c r="G27" s="3" t="s">
        <v>505</v>
      </c>
      <c r="H27" s="3" t="s">
        <v>116</v>
      </c>
      <c r="I27" s="4"/>
      <c r="J27" s="4"/>
      <c r="K27" s="4"/>
      <c r="L27" s="4"/>
      <c r="M27" s="4"/>
    </row>
    <row r="28" spans="1:13">
      <c r="A28" s="3" t="str">
        <f t="shared" si="1"/>
        <v>Kenya-gov</v>
      </c>
      <c r="B28" s="3" t="s">
        <v>21</v>
      </c>
      <c r="C28" s="3" t="s">
        <v>35</v>
      </c>
      <c r="D28" s="3" t="s">
        <v>297</v>
      </c>
      <c r="E28" s="3" cm="1">
        <f t="array" ref="E28">_xlfn.IFS(D28="Doubao Seed 2.0 Pro",1,D28="Deepseek Reasoner V3.2",2,D28="Google Gemini 3.1 Pro Preview",3,D28="OpenAI ChatGPT 5.4 Pro",4)</f>
        <v>2</v>
      </c>
      <c r="F28" s="3" t="str">
        <f t="shared" si="0"/>
        <v>China</v>
      </c>
      <c r="G28" s="3" t="s">
        <v>463</v>
      </c>
      <c r="H28" s="3" t="s">
        <v>130</v>
      </c>
      <c r="I28" s="4"/>
      <c r="J28" s="4"/>
      <c r="K28" s="4"/>
      <c r="L28" s="4"/>
      <c r="M28" s="4"/>
    </row>
    <row r="29" spans="1:13">
      <c r="A29" s="3" t="str">
        <f t="shared" si="1"/>
        <v>Kenya-gov</v>
      </c>
      <c r="B29" s="3" t="s">
        <v>21</v>
      </c>
      <c r="C29" s="3" t="s">
        <v>35</v>
      </c>
      <c r="D29" s="3" t="s">
        <v>297</v>
      </c>
      <c r="E29" s="3" cm="1">
        <f t="array" ref="E29">_xlfn.IFS(D29="Doubao Seed 2.0 Pro",1,D29="Deepseek Reasoner V3.2",2,D29="Google Gemini 3.1 Pro Preview",3,D29="OpenAI ChatGPT 5.4 Pro",4)</f>
        <v>2</v>
      </c>
      <c r="F29" s="3" t="str">
        <f t="shared" si="0"/>
        <v>China</v>
      </c>
      <c r="G29" s="3" t="s">
        <v>513</v>
      </c>
      <c r="H29" s="3" t="s">
        <v>252</v>
      </c>
      <c r="I29" s="4"/>
      <c r="J29" s="4"/>
      <c r="K29" s="4"/>
      <c r="L29" s="4"/>
      <c r="M29" s="4"/>
    </row>
    <row r="30" spans="1:13">
      <c r="A30" s="3" t="str">
        <f t="shared" si="1"/>
        <v>Kenya-gov</v>
      </c>
      <c r="B30" s="3" t="s">
        <v>21</v>
      </c>
      <c r="C30" s="3" t="s">
        <v>35</v>
      </c>
      <c r="D30" s="3" t="s">
        <v>297</v>
      </c>
      <c r="E30" s="3" cm="1">
        <f t="array" ref="E30">_xlfn.IFS(D30="Doubao Seed 2.0 Pro",1,D30="Deepseek Reasoner V3.2",2,D30="Google Gemini 3.1 Pro Preview",3,D30="OpenAI ChatGPT 5.4 Pro",4)</f>
        <v>2</v>
      </c>
      <c r="F30" s="3" t="str">
        <f t="shared" si="0"/>
        <v>China</v>
      </c>
      <c r="G30" s="3" t="s">
        <v>285</v>
      </c>
      <c r="H30" s="3" t="s">
        <v>113</v>
      </c>
      <c r="I30" s="4"/>
      <c r="J30" s="4"/>
      <c r="K30" s="4"/>
      <c r="L30" s="4"/>
      <c r="M30" s="4"/>
    </row>
    <row r="31" spans="1:13">
      <c r="A31" s="3" t="str">
        <f t="shared" si="1"/>
        <v>Kenya-gov</v>
      </c>
      <c r="B31" s="3" t="s">
        <v>21</v>
      </c>
      <c r="C31" s="3" t="s">
        <v>35</v>
      </c>
      <c r="D31" s="3" t="s">
        <v>297</v>
      </c>
      <c r="E31" s="3" cm="1">
        <f t="array" ref="E31">_xlfn.IFS(D31="Doubao Seed 2.0 Pro",1,D31="Deepseek Reasoner V3.2",2,D31="Google Gemini 3.1 Pro Preview",3,D31="OpenAI ChatGPT 5.4 Pro",4)</f>
        <v>2</v>
      </c>
      <c r="F31" s="3" t="str">
        <f t="shared" si="0"/>
        <v>China</v>
      </c>
      <c r="G31" s="3" t="s">
        <v>286</v>
      </c>
      <c r="H31" s="3" t="s">
        <v>124</v>
      </c>
      <c r="I31" s="4"/>
      <c r="J31" s="4"/>
      <c r="K31" s="4"/>
      <c r="L31" s="4"/>
      <c r="M31" s="4"/>
    </row>
    <row r="32" spans="1:13">
      <c r="A32" s="3" t="str">
        <f t="shared" si="1"/>
        <v>Kenya-gov</v>
      </c>
      <c r="B32" s="3" t="s">
        <v>21</v>
      </c>
      <c r="C32" s="3" t="s">
        <v>35</v>
      </c>
      <c r="D32" s="3" t="s">
        <v>297</v>
      </c>
      <c r="E32" s="3" cm="1">
        <f t="array" ref="E32">_xlfn.IFS(D32="Doubao Seed 2.0 Pro",1,D32="Deepseek Reasoner V3.2",2,D32="Google Gemini 3.1 Pro Preview",3,D32="OpenAI ChatGPT 5.4 Pro",4)</f>
        <v>2</v>
      </c>
      <c r="F32" s="3" t="str">
        <f t="shared" si="0"/>
        <v>China</v>
      </c>
      <c r="G32" s="3" t="s">
        <v>514</v>
      </c>
      <c r="H32" s="3" t="s">
        <v>116</v>
      </c>
      <c r="I32" s="4"/>
      <c r="J32" s="4"/>
      <c r="K32" s="4"/>
      <c r="L32" s="4"/>
      <c r="M32" s="4"/>
    </row>
    <row r="33" spans="1:13">
      <c r="A33" s="3" t="str">
        <f t="shared" si="1"/>
        <v>Kenya-gov</v>
      </c>
      <c r="B33" s="3" t="s">
        <v>21</v>
      </c>
      <c r="C33" s="3" t="s">
        <v>35</v>
      </c>
      <c r="D33" s="3" t="s">
        <v>297</v>
      </c>
      <c r="E33" s="3" cm="1">
        <f t="array" ref="E33">_xlfn.IFS(D33="Doubao Seed 2.0 Pro",1,D33="Deepseek Reasoner V3.2",2,D33="Google Gemini 3.1 Pro Preview",3,D33="OpenAI ChatGPT 5.4 Pro",4)</f>
        <v>2</v>
      </c>
      <c r="F33" s="3" t="str">
        <f t="shared" si="0"/>
        <v>China</v>
      </c>
      <c r="G33" s="3" t="s">
        <v>290</v>
      </c>
      <c r="H33" s="3" t="s">
        <v>85</v>
      </c>
      <c r="I33" s="4"/>
      <c r="J33" s="4"/>
      <c r="K33" s="4"/>
      <c r="L33" s="4"/>
      <c r="M33" s="4"/>
    </row>
    <row r="34" spans="1:13">
      <c r="A34" s="3" t="str">
        <f t="shared" si="1"/>
        <v>Kenya-gov</v>
      </c>
      <c r="B34" s="3" t="s">
        <v>21</v>
      </c>
      <c r="C34" s="3" t="s">
        <v>35</v>
      </c>
      <c r="D34" s="3" t="s">
        <v>314</v>
      </c>
      <c r="E34" s="3" cm="1">
        <f t="array" ref="E34">_xlfn.IFS(D34="Doubao Seed 2.0 Pro",1,D34="Deepseek Reasoner V3.2",2,D34="Google Gemini 3.1 Pro Preview",3,D34="OpenAI ChatGPT 5.4 Pro",4)</f>
        <v>3</v>
      </c>
      <c r="F34" s="3" t="str">
        <f t="shared" si="0"/>
        <v>US</v>
      </c>
      <c r="G34" s="3" t="s">
        <v>390</v>
      </c>
      <c r="H34" s="3" t="s">
        <v>124</v>
      </c>
      <c r="I34" s="4"/>
      <c r="J34" s="4"/>
      <c r="K34" s="4"/>
      <c r="L34" s="4"/>
      <c r="M34" s="4"/>
    </row>
    <row r="35" spans="1:13">
      <c r="A35" s="3" t="str">
        <f t="shared" si="1"/>
        <v>Kenya-gov</v>
      </c>
      <c r="B35" s="3" t="s">
        <v>21</v>
      </c>
      <c r="C35" s="3" t="s">
        <v>35</v>
      </c>
      <c r="D35" s="3" t="s">
        <v>314</v>
      </c>
      <c r="E35" s="3" cm="1">
        <f t="array" ref="E35">_xlfn.IFS(D35="Doubao Seed 2.0 Pro",1,D35="Deepseek Reasoner V3.2",2,D35="Google Gemini 3.1 Pro Preview",3,D35="OpenAI ChatGPT 5.4 Pro",4)</f>
        <v>3</v>
      </c>
      <c r="F35" s="3" t="str">
        <f t="shared" si="0"/>
        <v>US</v>
      </c>
      <c r="G35" s="3" t="s">
        <v>509</v>
      </c>
      <c r="H35" s="3" t="s">
        <v>125</v>
      </c>
      <c r="I35" s="4"/>
      <c r="J35" s="4"/>
      <c r="K35" s="4"/>
      <c r="L35" s="4"/>
      <c r="M35" s="4"/>
    </row>
    <row r="36" spans="1:13">
      <c r="A36" s="3" t="str">
        <f t="shared" si="1"/>
        <v>Kenya-gov</v>
      </c>
      <c r="B36" s="3" t="s">
        <v>21</v>
      </c>
      <c r="C36" s="3" t="s">
        <v>35</v>
      </c>
      <c r="D36" s="3" t="s">
        <v>314</v>
      </c>
      <c r="E36" s="3" cm="1">
        <f t="array" ref="E36">_xlfn.IFS(D36="Doubao Seed 2.0 Pro",1,D36="Deepseek Reasoner V3.2",2,D36="Google Gemini 3.1 Pro Preview",3,D36="OpenAI ChatGPT 5.4 Pro",4)</f>
        <v>3</v>
      </c>
      <c r="F36" s="3" t="str">
        <f t="shared" si="0"/>
        <v>US</v>
      </c>
      <c r="G36" s="3" t="s">
        <v>418</v>
      </c>
      <c r="H36" s="3" t="s">
        <v>123</v>
      </c>
      <c r="I36" s="4"/>
      <c r="J36" s="4"/>
      <c r="K36" s="4"/>
      <c r="L36" s="4"/>
      <c r="M36" s="4"/>
    </row>
    <row r="37" spans="1:13">
      <c r="A37" s="3" t="str">
        <f t="shared" si="1"/>
        <v>Kenya-gov</v>
      </c>
      <c r="B37" s="3" t="s">
        <v>21</v>
      </c>
      <c r="C37" s="3" t="s">
        <v>35</v>
      </c>
      <c r="D37" s="3" t="s">
        <v>314</v>
      </c>
      <c r="E37" s="3" cm="1">
        <f t="array" ref="E37">_xlfn.IFS(D37="Doubao Seed 2.0 Pro",1,D37="Deepseek Reasoner V3.2",2,D37="Google Gemini 3.1 Pro Preview",3,D37="OpenAI ChatGPT 5.4 Pro",4)</f>
        <v>3</v>
      </c>
      <c r="F37" s="3" t="str">
        <f t="shared" si="0"/>
        <v>US</v>
      </c>
      <c r="G37" s="3" t="s">
        <v>129</v>
      </c>
      <c r="H37" s="3" t="s">
        <v>129</v>
      </c>
      <c r="I37" s="4"/>
      <c r="J37" s="4"/>
      <c r="K37" s="4"/>
      <c r="L37" s="4"/>
      <c r="M37" s="4"/>
    </row>
    <row r="38" spans="1:13">
      <c r="A38" s="3" t="str">
        <f t="shared" si="1"/>
        <v>Kenya-gov</v>
      </c>
      <c r="B38" s="3" t="s">
        <v>21</v>
      </c>
      <c r="C38" s="3" t="s">
        <v>35</v>
      </c>
      <c r="D38" s="3" t="s">
        <v>314</v>
      </c>
      <c r="E38" s="3" cm="1">
        <f t="array" ref="E38">_xlfn.IFS(D38="Doubao Seed 2.0 Pro",1,D38="Deepseek Reasoner V3.2",2,D38="Google Gemini 3.1 Pro Preview",3,D38="OpenAI ChatGPT 5.4 Pro",4)</f>
        <v>3</v>
      </c>
      <c r="F38" s="3" t="str">
        <f t="shared" si="0"/>
        <v>US</v>
      </c>
      <c r="G38" s="3" t="s">
        <v>280</v>
      </c>
      <c r="H38" s="3" t="s">
        <v>100</v>
      </c>
      <c r="I38" s="4"/>
      <c r="J38" s="4"/>
      <c r="K38" s="4"/>
      <c r="L38" s="4"/>
      <c r="M38" s="4"/>
    </row>
    <row r="39" spans="1:13">
      <c r="A39" s="3" t="str">
        <f t="shared" si="1"/>
        <v>Kenya-gov</v>
      </c>
      <c r="B39" s="3" t="s">
        <v>21</v>
      </c>
      <c r="C39" s="3" t="s">
        <v>35</v>
      </c>
      <c r="D39" s="3" t="s">
        <v>314</v>
      </c>
      <c r="E39" s="3" cm="1">
        <f t="array" ref="E39">_xlfn.IFS(D39="Doubao Seed 2.0 Pro",1,D39="Deepseek Reasoner V3.2",2,D39="Google Gemini 3.1 Pro Preview",3,D39="OpenAI ChatGPT 5.4 Pro",4)</f>
        <v>3</v>
      </c>
      <c r="F39" s="3" t="str">
        <f t="shared" si="0"/>
        <v>US</v>
      </c>
      <c r="G39" s="3" t="s">
        <v>514</v>
      </c>
      <c r="H39" s="3" t="s">
        <v>116</v>
      </c>
      <c r="I39" s="4"/>
      <c r="J39" s="4"/>
      <c r="K39" s="4"/>
      <c r="L39" s="4"/>
      <c r="M39" s="4"/>
    </row>
    <row r="40" spans="1:13">
      <c r="A40" s="3" t="str">
        <f t="shared" si="1"/>
        <v>Kenya-gov</v>
      </c>
      <c r="B40" s="3" t="s">
        <v>21</v>
      </c>
      <c r="C40" s="3" t="s">
        <v>35</v>
      </c>
      <c r="D40" s="3" t="s">
        <v>314</v>
      </c>
      <c r="E40" s="3" cm="1">
        <f t="array" ref="E40">_xlfn.IFS(D40="Doubao Seed 2.0 Pro",1,D40="Deepseek Reasoner V3.2",2,D40="Google Gemini 3.1 Pro Preview",3,D40="OpenAI ChatGPT 5.4 Pro",4)</f>
        <v>3</v>
      </c>
      <c r="F40" s="3" t="str">
        <f t="shared" si="0"/>
        <v>US</v>
      </c>
      <c r="G40" s="3" t="s">
        <v>490</v>
      </c>
      <c r="H40" s="3" t="s">
        <v>100</v>
      </c>
      <c r="I40" s="4"/>
      <c r="J40" s="4"/>
      <c r="K40" s="4"/>
      <c r="L40" s="4"/>
      <c r="M40" s="4"/>
    </row>
    <row r="41" spans="1:13">
      <c r="A41" s="3" t="str">
        <f t="shared" si="1"/>
        <v>Kenya-gov</v>
      </c>
      <c r="B41" s="3" t="s">
        <v>21</v>
      </c>
      <c r="C41" s="3" t="s">
        <v>35</v>
      </c>
      <c r="D41" s="3" t="s">
        <v>314</v>
      </c>
      <c r="E41" s="3" cm="1">
        <f t="array" ref="E41">_xlfn.IFS(D41="Doubao Seed 2.0 Pro",1,D41="Deepseek Reasoner V3.2",2,D41="Google Gemini 3.1 Pro Preview",3,D41="OpenAI ChatGPT 5.4 Pro",4)</f>
        <v>3</v>
      </c>
      <c r="F41" s="3" t="str">
        <f t="shared" si="0"/>
        <v>US</v>
      </c>
      <c r="G41" s="3" t="s">
        <v>121</v>
      </c>
      <c r="H41" s="3" t="s">
        <v>121</v>
      </c>
      <c r="I41" s="4"/>
      <c r="J41" s="4"/>
      <c r="K41" s="4"/>
      <c r="L41" s="4"/>
      <c r="M41" s="4"/>
    </row>
    <row r="42" spans="1:13">
      <c r="A42" s="3" t="str">
        <f t="shared" si="1"/>
        <v>Kenya-gov</v>
      </c>
      <c r="B42" s="3" t="s">
        <v>21</v>
      </c>
      <c r="C42" s="3" t="s">
        <v>35</v>
      </c>
      <c r="D42" s="3" t="s">
        <v>314</v>
      </c>
      <c r="E42" s="3" cm="1">
        <f t="array" ref="E42">_xlfn.IFS(D42="Doubao Seed 2.0 Pro",1,D42="Deepseek Reasoner V3.2",2,D42="Google Gemini 3.1 Pro Preview",3,D42="OpenAI ChatGPT 5.4 Pro",4)</f>
        <v>3</v>
      </c>
      <c r="F42" s="3" t="str">
        <f t="shared" si="0"/>
        <v>US</v>
      </c>
      <c r="G42" s="3" t="s">
        <v>449</v>
      </c>
      <c r="H42" s="3" t="s">
        <v>101</v>
      </c>
      <c r="I42" s="4"/>
      <c r="J42" s="4"/>
      <c r="K42" s="4"/>
      <c r="L42" s="4"/>
      <c r="M42" s="4"/>
    </row>
    <row r="43" spans="1:13">
      <c r="A43" s="3" t="str">
        <f t="shared" si="1"/>
        <v>Kenya-gov</v>
      </c>
      <c r="B43" s="3" t="s">
        <v>21</v>
      </c>
      <c r="C43" s="3" t="s">
        <v>35</v>
      </c>
      <c r="D43" s="3" t="s">
        <v>314</v>
      </c>
      <c r="E43" s="3" cm="1">
        <f t="array" ref="E43">_xlfn.IFS(D43="Doubao Seed 2.0 Pro",1,D43="Deepseek Reasoner V3.2",2,D43="Google Gemini 3.1 Pro Preview",3,D43="OpenAI ChatGPT 5.4 Pro",4)</f>
        <v>3</v>
      </c>
      <c r="F43" s="3" t="str">
        <f t="shared" si="0"/>
        <v>US</v>
      </c>
      <c r="G43" s="3" t="s">
        <v>486</v>
      </c>
      <c r="H43" s="3" t="s">
        <v>116</v>
      </c>
      <c r="I43" s="4"/>
      <c r="J43" s="4"/>
      <c r="K43" s="4"/>
      <c r="L43" s="4"/>
      <c r="M43" s="4"/>
    </row>
    <row r="44" spans="1:13">
      <c r="A44" s="3" t="str">
        <f t="shared" si="1"/>
        <v>Kenya-gov</v>
      </c>
      <c r="B44" s="3" t="s">
        <v>21</v>
      </c>
      <c r="C44" s="3" t="s">
        <v>35</v>
      </c>
      <c r="D44" s="3" t="s">
        <v>329</v>
      </c>
      <c r="E44" s="3" cm="1">
        <f t="array" ref="E44">_xlfn.IFS(D44="Doubao Seed 2.0 Pro",1,D44="Deepseek Reasoner V3.2",2,D44="Google Gemini 3.1 Pro Preview",3,D44="OpenAI ChatGPT 5.4 Pro",4)</f>
        <v>4</v>
      </c>
      <c r="F44" s="3" t="str">
        <f t="shared" si="0"/>
        <v>US</v>
      </c>
      <c r="G44" s="3" t="s">
        <v>418</v>
      </c>
      <c r="H44" s="3" t="s">
        <v>123</v>
      </c>
      <c r="I44" s="4"/>
      <c r="J44" s="4"/>
      <c r="K44" s="4"/>
      <c r="L44" s="4"/>
      <c r="M44" s="4"/>
    </row>
    <row r="45" spans="1:13">
      <c r="A45" s="3" t="str">
        <f t="shared" si="1"/>
        <v>Kenya-gov</v>
      </c>
      <c r="B45" s="3" t="s">
        <v>21</v>
      </c>
      <c r="C45" s="3" t="s">
        <v>35</v>
      </c>
      <c r="D45" s="3" t="s">
        <v>329</v>
      </c>
      <c r="E45" s="3" cm="1">
        <f t="array" ref="E45">_xlfn.IFS(D45="Doubao Seed 2.0 Pro",1,D45="Deepseek Reasoner V3.2",2,D45="Google Gemini 3.1 Pro Preview",3,D45="OpenAI ChatGPT 5.4 Pro",4)</f>
        <v>4</v>
      </c>
      <c r="F45" s="3" t="str">
        <f t="shared" si="0"/>
        <v>US</v>
      </c>
      <c r="G45" s="3" t="s">
        <v>509</v>
      </c>
      <c r="H45" s="3" t="s">
        <v>125</v>
      </c>
      <c r="I45" s="4"/>
      <c r="J45" s="4"/>
      <c r="K45" s="4"/>
      <c r="L45" s="4"/>
      <c r="M45" s="4"/>
    </row>
    <row r="46" spans="1:13">
      <c r="A46" s="3" t="str">
        <f t="shared" si="1"/>
        <v>Kenya-gov</v>
      </c>
      <c r="B46" s="3" t="s">
        <v>21</v>
      </c>
      <c r="C46" s="3" t="s">
        <v>35</v>
      </c>
      <c r="D46" s="3" t="s">
        <v>329</v>
      </c>
      <c r="E46" s="3" cm="1">
        <f t="array" ref="E46">_xlfn.IFS(D46="Doubao Seed 2.0 Pro",1,D46="Deepseek Reasoner V3.2",2,D46="Google Gemini 3.1 Pro Preview",3,D46="OpenAI ChatGPT 5.4 Pro",4)</f>
        <v>4</v>
      </c>
      <c r="F46" s="3" t="str">
        <f t="shared" si="0"/>
        <v>US</v>
      </c>
      <c r="G46" s="3" t="s">
        <v>129</v>
      </c>
      <c r="H46" s="3" t="s">
        <v>129</v>
      </c>
      <c r="I46" s="4"/>
      <c r="J46" s="4"/>
      <c r="K46" s="4"/>
      <c r="L46" s="4"/>
      <c r="M46" s="4"/>
    </row>
    <row r="47" spans="1:13">
      <c r="A47" s="3" t="str">
        <f t="shared" si="1"/>
        <v>Kenya-gov</v>
      </c>
      <c r="B47" s="3" t="s">
        <v>21</v>
      </c>
      <c r="C47" s="3" t="s">
        <v>35</v>
      </c>
      <c r="D47" s="3" t="s">
        <v>329</v>
      </c>
      <c r="E47" s="3" cm="1">
        <f t="array" ref="E47">_xlfn.IFS(D47="Doubao Seed 2.0 Pro",1,D47="Deepseek Reasoner V3.2",2,D47="Google Gemini 3.1 Pro Preview",3,D47="OpenAI ChatGPT 5.4 Pro",4)</f>
        <v>4</v>
      </c>
      <c r="F47" s="3" t="str">
        <f t="shared" si="0"/>
        <v>US</v>
      </c>
      <c r="G47" s="3" t="s">
        <v>290</v>
      </c>
      <c r="H47" s="3" t="s">
        <v>85</v>
      </c>
      <c r="I47" s="4"/>
      <c r="J47" s="4"/>
      <c r="K47" s="4"/>
      <c r="L47" s="4"/>
      <c r="M47" s="4"/>
    </row>
    <row r="48" spans="1:13">
      <c r="A48" s="3" t="str">
        <f t="shared" si="1"/>
        <v>Kenya-gov</v>
      </c>
      <c r="B48" s="3" t="s">
        <v>21</v>
      </c>
      <c r="C48" s="3" t="s">
        <v>35</v>
      </c>
      <c r="D48" s="3" t="s">
        <v>329</v>
      </c>
      <c r="E48" s="3" cm="1">
        <f t="array" ref="E48">_xlfn.IFS(D48="Doubao Seed 2.0 Pro",1,D48="Deepseek Reasoner V3.2",2,D48="Google Gemini 3.1 Pro Preview",3,D48="OpenAI ChatGPT 5.4 Pro",4)</f>
        <v>4</v>
      </c>
      <c r="F48" s="3" t="str">
        <f t="shared" si="0"/>
        <v>US</v>
      </c>
      <c r="G48" s="3" t="s">
        <v>121</v>
      </c>
      <c r="H48" s="3" t="s">
        <v>121</v>
      </c>
      <c r="I48" s="4"/>
      <c r="J48" s="4"/>
      <c r="K48" s="4"/>
      <c r="L48" s="4"/>
      <c r="M48" s="4"/>
    </row>
    <row r="49" spans="1:13">
      <c r="A49" s="3" t="str">
        <f t="shared" si="1"/>
        <v>Kenya-gov</v>
      </c>
      <c r="B49" s="3" t="s">
        <v>21</v>
      </c>
      <c r="C49" s="3" t="s">
        <v>35</v>
      </c>
      <c r="D49" s="3" t="s">
        <v>329</v>
      </c>
      <c r="E49" s="3" cm="1">
        <f t="array" ref="E49">_xlfn.IFS(D49="Doubao Seed 2.0 Pro",1,D49="Deepseek Reasoner V3.2",2,D49="Google Gemini 3.1 Pro Preview",3,D49="OpenAI ChatGPT 5.4 Pro",4)</f>
        <v>4</v>
      </c>
      <c r="F49" s="3" t="str">
        <f t="shared" si="0"/>
        <v>US</v>
      </c>
      <c r="G49" s="3" t="s">
        <v>505</v>
      </c>
      <c r="H49" s="3" t="s">
        <v>116</v>
      </c>
      <c r="I49" s="4"/>
      <c r="J49" s="4"/>
      <c r="K49" s="4"/>
      <c r="L49" s="4"/>
      <c r="M49" s="4"/>
    </row>
    <row r="50" spans="1:13">
      <c r="A50" s="3" t="str">
        <f t="shared" si="1"/>
        <v>Kenya-gov</v>
      </c>
      <c r="B50" s="3" t="s">
        <v>21</v>
      </c>
      <c r="C50" s="3" t="s">
        <v>35</v>
      </c>
      <c r="D50" s="3" t="s">
        <v>329</v>
      </c>
      <c r="E50" s="3" cm="1">
        <f t="array" ref="E50">_xlfn.IFS(D50="Doubao Seed 2.0 Pro",1,D50="Deepseek Reasoner V3.2",2,D50="Google Gemini 3.1 Pro Preview",3,D50="OpenAI ChatGPT 5.4 Pro",4)</f>
        <v>4</v>
      </c>
      <c r="F50" s="3" t="str">
        <f t="shared" si="0"/>
        <v>US</v>
      </c>
      <c r="G50" s="3" t="s">
        <v>390</v>
      </c>
      <c r="H50" s="3" t="s">
        <v>124</v>
      </c>
      <c r="I50" s="4"/>
      <c r="J50" s="4"/>
      <c r="K50" s="4"/>
      <c r="L50" s="4"/>
      <c r="M50" s="4"/>
    </row>
    <row r="51" spans="1:13">
      <c r="A51" s="3" t="str">
        <f t="shared" si="1"/>
        <v>Kenya-gov</v>
      </c>
      <c r="B51" s="3" t="s">
        <v>21</v>
      </c>
      <c r="C51" s="3" t="s">
        <v>35</v>
      </c>
      <c r="D51" s="3" t="s">
        <v>329</v>
      </c>
      <c r="E51" s="3" cm="1">
        <f t="array" ref="E51">_xlfn.IFS(D51="Doubao Seed 2.0 Pro",1,D51="Deepseek Reasoner V3.2",2,D51="Google Gemini 3.1 Pro Preview",3,D51="OpenAI ChatGPT 5.4 Pro",4)</f>
        <v>4</v>
      </c>
      <c r="F51" s="3" t="str">
        <f t="shared" si="0"/>
        <v>US</v>
      </c>
      <c r="G51" s="3" t="s">
        <v>395</v>
      </c>
      <c r="H51" s="3" t="s">
        <v>219</v>
      </c>
      <c r="I51" s="4"/>
      <c r="J51" s="4"/>
      <c r="K51" s="4"/>
      <c r="L51" s="4"/>
      <c r="M51" s="4"/>
    </row>
    <row r="52" spans="1:13">
      <c r="A52" s="3" t="str">
        <f t="shared" si="1"/>
        <v>Kenya-gov</v>
      </c>
      <c r="B52" s="3" t="s">
        <v>21</v>
      </c>
      <c r="C52" s="3" t="s">
        <v>35</v>
      </c>
      <c r="D52" s="3" t="s">
        <v>329</v>
      </c>
      <c r="E52" s="3" cm="1">
        <f t="array" ref="E52">_xlfn.IFS(D52="Doubao Seed 2.0 Pro",1,D52="Deepseek Reasoner V3.2",2,D52="Google Gemini 3.1 Pro Preview",3,D52="OpenAI ChatGPT 5.4 Pro",4)</f>
        <v>4</v>
      </c>
      <c r="F52" s="3" t="str">
        <f t="shared" si="0"/>
        <v>US</v>
      </c>
      <c r="G52" s="3" t="s">
        <v>500</v>
      </c>
      <c r="H52" s="3" t="s">
        <v>125</v>
      </c>
      <c r="I52" s="4"/>
      <c r="J52" s="4"/>
      <c r="K52" s="4"/>
      <c r="L52" s="4"/>
      <c r="M52" s="4"/>
    </row>
    <row r="53" spans="1:13">
      <c r="A53" s="3" t="str">
        <f t="shared" si="1"/>
        <v>Kenya-gov</v>
      </c>
      <c r="B53" s="3" t="s">
        <v>21</v>
      </c>
      <c r="C53" s="3" t="s">
        <v>35</v>
      </c>
      <c r="D53" s="3" t="s">
        <v>329</v>
      </c>
      <c r="E53" s="3" cm="1">
        <f t="array" ref="E53">_xlfn.IFS(D53="Doubao Seed 2.0 Pro",1,D53="Deepseek Reasoner V3.2",2,D53="Google Gemini 3.1 Pro Preview",3,D53="OpenAI ChatGPT 5.4 Pro",4)</f>
        <v>4</v>
      </c>
      <c r="F53" s="3" t="str">
        <f t="shared" si="0"/>
        <v>US</v>
      </c>
      <c r="G53" s="3" t="s">
        <v>511</v>
      </c>
      <c r="H53" s="3" t="s">
        <v>99</v>
      </c>
      <c r="I53" s="4"/>
      <c r="J53" s="4"/>
      <c r="K53" s="4"/>
      <c r="L53" s="4"/>
      <c r="M53" s="4"/>
    </row>
    <row r="54" spans="1:13">
      <c r="A54" s="3" t="str">
        <f t="shared" si="1"/>
        <v>Kenya-gov</v>
      </c>
      <c r="B54" s="3" t="s">
        <v>21</v>
      </c>
      <c r="C54" s="3" t="s">
        <v>35</v>
      </c>
      <c r="D54" s="3" t="s">
        <v>329</v>
      </c>
      <c r="E54" s="3" cm="1">
        <f t="array" ref="E54">_xlfn.IFS(D54="Doubao Seed 2.0 Pro",1,D54="Deepseek Reasoner V3.2",2,D54="Google Gemini 3.1 Pro Preview",3,D54="OpenAI ChatGPT 5.4 Pro",4)</f>
        <v>4</v>
      </c>
      <c r="F54" s="3" t="str">
        <f t="shared" si="0"/>
        <v>US</v>
      </c>
      <c r="G54" s="3" t="s">
        <v>490</v>
      </c>
      <c r="H54" s="3" t="s">
        <v>100</v>
      </c>
      <c r="I54" s="4"/>
      <c r="J54" s="4"/>
      <c r="K54" s="4"/>
      <c r="L54" s="4"/>
      <c r="M54" s="4"/>
    </row>
    <row r="55" spans="1:13">
      <c r="A55" s="3" t="str">
        <f t="shared" si="1"/>
        <v>Kenya-gov</v>
      </c>
      <c r="B55" s="3" t="s">
        <v>21</v>
      </c>
      <c r="C55" s="3" t="s">
        <v>35</v>
      </c>
      <c r="D55" s="3" t="s">
        <v>329</v>
      </c>
      <c r="E55" s="3" cm="1">
        <f t="array" ref="E55">_xlfn.IFS(D55="Doubao Seed 2.0 Pro",1,D55="Deepseek Reasoner V3.2",2,D55="Google Gemini 3.1 Pro Preview",3,D55="OpenAI ChatGPT 5.4 Pro",4)</f>
        <v>4</v>
      </c>
      <c r="F55" s="3" t="str">
        <f t="shared" si="0"/>
        <v>US</v>
      </c>
      <c r="G55" s="3" t="s">
        <v>281</v>
      </c>
      <c r="H55" s="3" t="s">
        <v>121</v>
      </c>
      <c r="I55" s="4"/>
      <c r="J55" s="4"/>
      <c r="K55" s="4"/>
      <c r="L55" s="4"/>
      <c r="M55" s="4"/>
    </row>
    <row r="56" spans="1:13">
      <c r="A56" s="3" t="str">
        <f t="shared" si="1"/>
        <v>Kenya-gov</v>
      </c>
      <c r="B56" s="3" t="s">
        <v>21</v>
      </c>
      <c r="C56" s="3" t="s">
        <v>35</v>
      </c>
      <c r="D56" s="3" t="s">
        <v>329</v>
      </c>
      <c r="E56" s="3" cm="1">
        <f t="array" ref="E56">_xlfn.IFS(D56="Doubao Seed 2.0 Pro",1,D56="Deepseek Reasoner V3.2",2,D56="Google Gemini 3.1 Pro Preview",3,D56="OpenAI ChatGPT 5.4 Pro",4)</f>
        <v>4</v>
      </c>
      <c r="F56" s="3" t="str">
        <f t="shared" si="0"/>
        <v>US</v>
      </c>
      <c r="G56" s="3" t="s">
        <v>285</v>
      </c>
      <c r="H56" s="3" t="s">
        <v>113</v>
      </c>
      <c r="I56" s="4"/>
      <c r="J56" s="4"/>
      <c r="K56" s="4"/>
      <c r="L56" s="4"/>
      <c r="M56" s="4"/>
    </row>
    <row r="57" spans="1:13">
      <c r="A57" s="3" t="str">
        <f t="shared" si="1"/>
        <v>Kenya-gov</v>
      </c>
      <c r="B57" s="3" t="s">
        <v>21</v>
      </c>
      <c r="C57" s="3" t="s">
        <v>35</v>
      </c>
      <c r="D57" s="3" t="s">
        <v>329</v>
      </c>
      <c r="E57" s="3" cm="1">
        <f t="array" ref="E57">_xlfn.IFS(D57="Doubao Seed 2.0 Pro",1,D57="Deepseek Reasoner V3.2",2,D57="Google Gemini 3.1 Pro Preview",3,D57="OpenAI ChatGPT 5.4 Pro",4)</f>
        <v>4</v>
      </c>
      <c r="F57" s="3" t="str">
        <f t="shared" si="0"/>
        <v>US</v>
      </c>
      <c r="G57" s="3" t="s">
        <v>482</v>
      </c>
      <c r="H57" s="3" t="s">
        <v>126</v>
      </c>
      <c r="I57" s="4"/>
      <c r="J57" s="4"/>
      <c r="K57" s="4"/>
      <c r="L57" s="4"/>
      <c r="M57" s="4"/>
    </row>
    <row r="58" spans="1:13">
      <c r="A58" s="3" t="str">
        <f t="shared" si="1"/>
        <v>Kenya-gov</v>
      </c>
      <c r="B58" s="3" t="s">
        <v>21</v>
      </c>
      <c r="C58" s="3" t="s">
        <v>35</v>
      </c>
      <c r="D58" s="3" t="s">
        <v>329</v>
      </c>
      <c r="E58" s="3" cm="1">
        <f t="array" ref="E58">_xlfn.IFS(D58="Doubao Seed 2.0 Pro",1,D58="Deepseek Reasoner V3.2",2,D58="Google Gemini 3.1 Pro Preview",3,D58="OpenAI ChatGPT 5.4 Pro",4)</f>
        <v>4</v>
      </c>
      <c r="F58" s="3" t="str">
        <f t="shared" si="0"/>
        <v>US</v>
      </c>
      <c r="G58" s="3" t="s">
        <v>486</v>
      </c>
      <c r="H58" s="3" t="s">
        <v>116</v>
      </c>
      <c r="I58" s="4"/>
      <c r="J58" s="4"/>
      <c r="K58" s="4"/>
      <c r="L58" s="4"/>
      <c r="M58" s="4"/>
    </row>
    <row r="59" spans="1:13">
      <c r="A59" s="3" t="str">
        <f t="shared" si="1"/>
        <v>Kenya-gov</v>
      </c>
      <c r="B59" s="3" t="s">
        <v>21</v>
      </c>
      <c r="C59" s="3" t="s">
        <v>35</v>
      </c>
      <c r="D59" s="3" t="s">
        <v>329</v>
      </c>
      <c r="E59" s="3" cm="1">
        <f t="array" ref="E59">_xlfn.IFS(D59="Doubao Seed 2.0 Pro",1,D59="Deepseek Reasoner V3.2",2,D59="Google Gemini 3.1 Pro Preview",3,D59="OpenAI ChatGPT 5.4 Pro",4)</f>
        <v>4</v>
      </c>
      <c r="F59" s="3" t="str">
        <f t="shared" si="0"/>
        <v>US</v>
      </c>
      <c r="G59" s="3" t="s">
        <v>325</v>
      </c>
      <c r="H59" s="3" t="s">
        <v>122</v>
      </c>
      <c r="I59" s="4"/>
      <c r="J59" s="4"/>
      <c r="K59" s="4"/>
      <c r="L59" s="4"/>
      <c r="M59" s="4"/>
    </row>
    <row r="60" spans="1:13">
      <c r="A60" s="3" t="str">
        <f t="shared" si="1"/>
        <v>Kenya-gov</v>
      </c>
      <c r="B60" s="3" t="s">
        <v>21</v>
      </c>
      <c r="C60" s="3" t="s">
        <v>35</v>
      </c>
      <c r="D60" s="3" t="s">
        <v>329</v>
      </c>
      <c r="E60" s="3" cm="1">
        <f t="array" ref="E60">_xlfn.IFS(D60="Doubao Seed 2.0 Pro",1,D60="Deepseek Reasoner V3.2",2,D60="Google Gemini 3.1 Pro Preview",3,D60="OpenAI ChatGPT 5.4 Pro",4)</f>
        <v>4</v>
      </c>
      <c r="F60" s="3" t="str">
        <f t="shared" si="0"/>
        <v>US</v>
      </c>
      <c r="G60" s="3" t="s">
        <v>304</v>
      </c>
      <c r="H60" s="3" t="s">
        <v>93</v>
      </c>
      <c r="I60" s="4"/>
      <c r="J60" s="4"/>
      <c r="K60" s="4"/>
      <c r="L60" s="4"/>
      <c r="M60" s="4"/>
    </row>
    <row r="61" spans="1:13">
      <c r="A61" s="4" t="s">
        <v>419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3" t="str">
        <f t="shared" ref="A64:A81" si="2">C64&amp;"-"&amp;B64</f>
        <v>Kenya-gov</v>
      </c>
      <c r="B64" s="3" t="s">
        <v>21</v>
      </c>
      <c r="C64" s="3" t="s">
        <v>35</v>
      </c>
      <c r="D64" s="4" t="s">
        <v>197</v>
      </c>
      <c r="E64" s="4"/>
      <c r="F64" s="4"/>
      <c r="G64" s="4"/>
      <c r="H64" t="s">
        <v>130</v>
      </c>
      <c r="I64" s="3">
        <v>1</v>
      </c>
      <c r="J64" s="7"/>
      <c r="K64" s="7"/>
      <c r="L64" s="8" t="s">
        <v>199</v>
      </c>
      <c r="M64" s="8" t="s">
        <v>200</v>
      </c>
    </row>
    <row r="65" spans="1:13">
      <c r="A65" s="3" t="str">
        <f t="shared" si="2"/>
        <v>Kenya-gov</v>
      </c>
      <c r="B65" s="3" t="s">
        <v>21</v>
      </c>
      <c r="C65" s="3" t="s">
        <v>35</v>
      </c>
      <c r="D65" s="4"/>
      <c r="E65" s="4"/>
      <c r="F65" s="4"/>
      <c r="G65" s="4"/>
      <c r="H65" t="s">
        <v>129</v>
      </c>
      <c r="I65" s="3">
        <v>1</v>
      </c>
      <c r="J65" s="7"/>
      <c r="K65" s="7"/>
      <c r="L65" s="8" t="s">
        <v>24</v>
      </c>
      <c r="M65" s="8" t="s">
        <v>25</v>
      </c>
    </row>
    <row r="66" spans="1:13">
      <c r="A66" s="3" t="str">
        <f t="shared" si="2"/>
        <v>Kenya-gov</v>
      </c>
      <c r="B66" s="3" t="s">
        <v>21</v>
      </c>
      <c r="C66" s="3" t="s">
        <v>35</v>
      </c>
      <c r="D66" s="4"/>
      <c r="E66" s="4"/>
      <c r="F66" s="4"/>
      <c r="G66" s="4"/>
      <c r="H66" t="s">
        <v>126</v>
      </c>
      <c r="I66" s="3">
        <v>1</v>
      </c>
      <c r="J66" s="8"/>
      <c r="K66" s="8"/>
      <c r="L66" s="8" t="s">
        <v>24</v>
      </c>
      <c r="M66" s="8" t="s">
        <v>55</v>
      </c>
    </row>
    <row r="67" spans="1:13">
      <c r="A67" s="3" t="str">
        <f t="shared" si="2"/>
        <v>Kenya-gov</v>
      </c>
      <c r="B67" s="3" t="s">
        <v>21</v>
      </c>
      <c r="C67" s="3" t="s">
        <v>35</v>
      </c>
      <c r="D67" s="4"/>
      <c r="E67" s="4"/>
      <c r="F67" s="4"/>
      <c r="G67" s="4"/>
      <c r="H67" t="s">
        <v>125</v>
      </c>
      <c r="I67" s="3">
        <v>1</v>
      </c>
      <c r="J67" s="7"/>
      <c r="K67" s="7"/>
      <c r="L67" s="8" t="s">
        <v>24</v>
      </c>
      <c r="M67" s="8" t="s">
        <v>25</v>
      </c>
    </row>
    <row r="68" spans="1:13">
      <c r="A68" s="3" t="str">
        <f t="shared" si="2"/>
        <v>Kenya-gov</v>
      </c>
      <c r="B68" s="3" t="s">
        <v>21</v>
      </c>
      <c r="C68" s="3" t="s">
        <v>35</v>
      </c>
      <c r="D68" s="4"/>
      <c r="E68" s="4"/>
      <c r="F68" s="4"/>
      <c r="G68" s="4"/>
      <c r="H68" t="s">
        <v>124</v>
      </c>
      <c r="I68" s="3">
        <v>1</v>
      </c>
      <c r="J68" s="8"/>
      <c r="K68" s="8"/>
      <c r="L68" s="8" t="s">
        <v>24</v>
      </c>
      <c r="M68" s="8" t="s">
        <v>55</v>
      </c>
    </row>
    <row r="69" spans="1:13">
      <c r="A69" s="3" t="str">
        <f t="shared" si="2"/>
        <v>Kenya-gov</v>
      </c>
      <c r="B69" s="3" t="s">
        <v>21</v>
      </c>
      <c r="C69" s="3" t="s">
        <v>35</v>
      </c>
      <c r="D69" s="4"/>
      <c r="E69" s="4"/>
      <c r="F69" s="4"/>
      <c r="G69" s="4"/>
      <c r="H69" t="s">
        <v>123</v>
      </c>
      <c r="I69" s="3">
        <v>1</v>
      </c>
      <c r="J69" s="8"/>
      <c r="K69" s="8"/>
      <c r="L69" s="8" t="s">
        <v>24</v>
      </c>
      <c r="M69" s="8" t="s">
        <v>25</v>
      </c>
    </row>
    <row r="70" spans="1:13">
      <c r="A70" s="3" t="str">
        <f t="shared" si="2"/>
        <v>Kenya-gov</v>
      </c>
      <c r="B70" s="3" t="s">
        <v>21</v>
      </c>
      <c r="C70" s="3" t="s">
        <v>35</v>
      </c>
      <c r="D70" s="4"/>
      <c r="E70" s="4"/>
      <c r="F70" s="4"/>
      <c r="G70" s="4"/>
      <c r="H70" t="s">
        <v>219</v>
      </c>
      <c r="I70" s="3">
        <v>1</v>
      </c>
      <c r="J70" s="7"/>
      <c r="K70" s="3"/>
      <c r="L70" s="8" t="s">
        <v>199</v>
      </c>
      <c r="M70" s="8" t="s">
        <v>200</v>
      </c>
    </row>
    <row r="71" spans="1:13">
      <c r="A71" s="3" t="str">
        <f t="shared" si="2"/>
        <v>Kenya-gov</v>
      </c>
      <c r="B71" s="3" t="s">
        <v>21</v>
      </c>
      <c r="C71" s="3" t="s">
        <v>35</v>
      </c>
      <c r="D71" s="4"/>
      <c r="E71" s="4"/>
      <c r="F71" s="4"/>
      <c r="G71" s="4"/>
      <c r="H71" s="11" t="s">
        <v>122</v>
      </c>
      <c r="I71" s="12" t="s">
        <v>217</v>
      </c>
      <c r="J71" s="7">
        <v>55657</v>
      </c>
      <c r="K71" s="7" t="s">
        <v>32</v>
      </c>
      <c r="L71" s="8"/>
      <c r="M71" s="8"/>
    </row>
    <row r="72" spans="1:13">
      <c r="A72" s="3" t="str">
        <f t="shared" si="2"/>
        <v>Kenya-gov</v>
      </c>
      <c r="B72" s="3" t="s">
        <v>21</v>
      </c>
      <c r="C72" s="3" t="s">
        <v>35</v>
      </c>
      <c r="D72" s="4"/>
      <c r="E72" s="4"/>
      <c r="F72" s="4"/>
      <c r="G72" s="4"/>
      <c r="H72" t="s">
        <v>121</v>
      </c>
      <c r="I72" s="3">
        <v>1</v>
      </c>
      <c r="J72" s="7"/>
      <c r="K72" s="7"/>
      <c r="L72" s="8" t="s">
        <v>24</v>
      </c>
      <c r="M72" s="8" t="s">
        <v>55</v>
      </c>
    </row>
    <row r="73" spans="1:13">
      <c r="A73" s="3" t="str">
        <f t="shared" si="2"/>
        <v>Kenya-gov</v>
      </c>
      <c r="B73" s="3" t="s">
        <v>21</v>
      </c>
      <c r="C73" s="3" t="s">
        <v>35</v>
      </c>
      <c r="D73" s="4"/>
      <c r="E73" s="4"/>
      <c r="F73" s="4"/>
      <c r="G73" s="4"/>
      <c r="H73" t="s">
        <v>116</v>
      </c>
      <c r="I73" s="3">
        <v>1</v>
      </c>
      <c r="J73" s="8"/>
      <c r="K73" s="8"/>
      <c r="L73" s="8" t="s">
        <v>24</v>
      </c>
      <c r="M73" s="8" t="s">
        <v>25</v>
      </c>
    </row>
    <row r="74" spans="1:13">
      <c r="A74" s="3" t="str">
        <f t="shared" si="2"/>
        <v>Kenya-gov</v>
      </c>
      <c r="B74" s="3" t="s">
        <v>21</v>
      </c>
      <c r="C74" s="3" t="s">
        <v>35</v>
      </c>
      <c r="D74" s="4"/>
      <c r="E74" s="4"/>
      <c r="F74" s="4"/>
      <c r="G74" s="4"/>
      <c r="H74" t="s">
        <v>113</v>
      </c>
      <c r="I74" s="3" t="s">
        <v>217</v>
      </c>
      <c r="J74" s="7">
        <v>33863</v>
      </c>
      <c r="K74" s="7" t="s">
        <v>32</v>
      </c>
      <c r="L74" s="8"/>
      <c r="M74" s="8"/>
    </row>
    <row r="75" spans="1:13">
      <c r="A75" s="3" t="str">
        <f t="shared" si="2"/>
        <v>Kenya-gov</v>
      </c>
      <c r="B75" s="3" t="s">
        <v>21</v>
      </c>
      <c r="C75" s="3" t="s">
        <v>35</v>
      </c>
      <c r="D75" s="4"/>
      <c r="E75" s="4"/>
      <c r="F75" s="4"/>
      <c r="G75" s="4"/>
      <c r="H75" t="s">
        <v>101</v>
      </c>
      <c r="I75" s="3">
        <v>1</v>
      </c>
      <c r="J75" s="7"/>
      <c r="K75" s="7"/>
      <c r="L75" s="8" t="s">
        <v>199</v>
      </c>
      <c r="M75" s="8" t="s">
        <v>200</v>
      </c>
    </row>
    <row r="76" spans="1:13">
      <c r="A76" s="3" t="str">
        <f t="shared" si="2"/>
        <v>Kenya-gov</v>
      </c>
      <c r="B76" s="3" t="s">
        <v>21</v>
      </c>
      <c r="C76" s="3" t="s">
        <v>35</v>
      </c>
      <c r="D76" s="4"/>
      <c r="E76" s="4"/>
      <c r="F76" s="4"/>
      <c r="G76" s="4"/>
      <c r="H76" t="s">
        <v>100</v>
      </c>
      <c r="I76" s="3">
        <v>1</v>
      </c>
      <c r="J76" s="8"/>
      <c r="K76" s="8"/>
      <c r="L76" s="8" t="s">
        <v>24</v>
      </c>
      <c r="M76" s="8" t="s">
        <v>25</v>
      </c>
    </row>
    <row r="77" spans="1:13">
      <c r="A77" s="3" t="str">
        <f t="shared" si="2"/>
        <v>Kenya-gov</v>
      </c>
      <c r="B77" s="3" t="s">
        <v>21</v>
      </c>
      <c r="C77" s="3" t="s">
        <v>35</v>
      </c>
      <c r="D77" s="4"/>
      <c r="E77" s="4"/>
      <c r="F77" s="4"/>
      <c r="G77" s="4"/>
      <c r="H77" t="s">
        <v>99</v>
      </c>
      <c r="I77" s="3">
        <v>1</v>
      </c>
      <c r="J77" s="7"/>
      <c r="K77" s="7"/>
      <c r="L77" s="8" t="s">
        <v>24</v>
      </c>
      <c r="M77" s="8" t="s">
        <v>55</v>
      </c>
    </row>
    <row r="78" spans="1:13">
      <c r="A78" s="3" t="str">
        <f t="shared" si="2"/>
        <v>Kenya-gov</v>
      </c>
      <c r="B78" s="3" t="s">
        <v>21</v>
      </c>
      <c r="C78" s="3" t="s">
        <v>35</v>
      </c>
      <c r="D78" s="4"/>
      <c r="E78" s="4"/>
      <c r="F78" s="4"/>
      <c r="G78" s="4"/>
      <c r="H78" t="s">
        <v>95</v>
      </c>
      <c r="I78" s="3" t="s">
        <v>217</v>
      </c>
      <c r="J78" s="7" t="s">
        <v>31</v>
      </c>
      <c r="K78" s="7" t="s">
        <v>48</v>
      </c>
      <c r="L78" s="8"/>
      <c r="M78" s="8"/>
    </row>
    <row r="79" spans="1:13">
      <c r="A79" s="3" t="str">
        <f t="shared" si="2"/>
        <v>Kenya-gov</v>
      </c>
      <c r="B79" s="3" t="s">
        <v>21</v>
      </c>
      <c r="C79" s="3" t="s">
        <v>35</v>
      </c>
      <c r="D79" s="4"/>
      <c r="E79" s="4"/>
      <c r="F79" s="4"/>
      <c r="G79" s="4"/>
      <c r="H79" t="s">
        <v>93</v>
      </c>
      <c r="I79" s="3" t="s">
        <v>217</v>
      </c>
      <c r="J79" s="7">
        <v>39992</v>
      </c>
      <c r="K79" s="7" t="s">
        <v>48</v>
      </c>
      <c r="L79" s="8"/>
      <c r="M79" s="8"/>
    </row>
    <row r="80" spans="1:13">
      <c r="A80" s="3" t="str">
        <f t="shared" si="2"/>
        <v>Kenya-gov</v>
      </c>
      <c r="B80" s="3" t="s">
        <v>21</v>
      </c>
      <c r="C80" s="3" t="s">
        <v>35</v>
      </c>
      <c r="D80" s="4"/>
      <c r="E80" s="4"/>
      <c r="F80" s="4"/>
      <c r="G80" s="4"/>
      <c r="H80" t="s">
        <v>85</v>
      </c>
      <c r="I80" s="3">
        <v>1</v>
      </c>
      <c r="J80" s="7"/>
      <c r="K80" s="7"/>
      <c r="L80" s="8" t="s">
        <v>24</v>
      </c>
      <c r="M80" s="8" t="s">
        <v>55</v>
      </c>
    </row>
    <row r="81" spans="1:13">
      <c r="A81" s="3" t="str">
        <f t="shared" si="2"/>
        <v>Kenya-gov</v>
      </c>
      <c r="B81" s="3" t="s">
        <v>21</v>
      </c>
      <c r="C81" s="3" t="s">
        <v>35</v>
      </c>
      <c r="D81" s="4"/>
      <c r="E81" s="4"/>
      <c r="F81" s="4"/>
      <c r="G81" s="4"/>
      <c r="H81" t="s">
        <v>252</v>
      </c>
      <c r="I81" s="3">
        <v>1</v>
      </c>
      <c r="J81" s="3"/>
      <c r="K81" s="3"/>
      <c r="L81" s="3" t="s">
        <v>199</v>
      </c>
      <c r="M81" s="8" t="s">
        <v>200</v>
      </c>
    </row>
    <row r="86" spans="1:13">
      <c r="G86" s="1"/>
      <c r="H86" s="1"/>
      <c r="I86">
        <v>1</v>
      </c>
      <c r="J86" t="s">
        <v>31</v>
      </c>
      <c r="K86" s="8" t="s">
        <v>48</v>
      </c>
      <c r="L86" s="8" t="s">
        <v>24</v>
      </c>
    </row>
    <row r="87" spans="1:13">
      <c r="G87" s="1"/>
      <c r="H87" s="1"/>
      <c r="I87" s="9" t="s">
        <v>217</v>
      </c>
      <c r="K87" t="s">
        <v>32</v>
      </c>
      <c r="L87" s="8" t="s">
        <v>199</v>
      </c>
    </row>
    <row r="88" spans="1:13">
      <c r="G88" s="1"/>
      <c r="H88" s="1"/>
    </row>
    <row r="89" spans="1:13">
      <c r="G89" s="1"/>
      <c r="H89" s="1"/>
    </row>
    <row r="90" spans="1:13">
      <c r="G90" s="1"/>
      <c r="H90" s="1"/>
    </row>
    <row r="91" spans="1:13">
      <c r="G91" s="1"/>
      <c r="H91" s="1"/>
    </row>
    <row r="92" spans="1:13">
      <c r="G92" s="1"/>
      <c r="H92" s="1"/>
    </row>
    <row r="93" spans="1:13">
      <c r="G93" s="1"/>
      <c r="H93" s="1"/>
    </row>
    <row r="94" spans="1:13">
      <c r="G94" s="1"/>
      <c r="H94" s="1"/>
    </row>
    <row r="95" spans="1:13">
      <c r="G95" s="1"/>
      <c r="H95" s="1"/>
    </row>
    <row r="96" spans="1:13">
      <c r="G96" s="1"/>
      <c r="H96" s="1"/>
    </row>
    <row r="97" spans="7:8">
      <c r="G97" s="1"/>
      <c r="H97" s="1"/>
    </row>
    <row r="98" spans="7:8">
      <c r="G98" s="1"/>
      <c r="H98" s="1"/>
    </row>
    <row r="99" spans="7:8">
      <c r="G99" s="1"/>
      <c r="H99" s="1"/>
    </row>
    <row r="100" spans="7:8">
      <c r="G100" s="1"/>
      <c r="H100" s="1"/>
    </row>
    <row r="101" spans="7:8">
      <c r="G101" s="1"/>
      <c r="H101" s="1"/>
    </row>
    <row r="102" spans="7:8">
      <c r="G102" s="1"/>
      <c r="H102" s="1"/>
    </row>
    <row r="103" spans="7:8">
      <c r="G103" s="1"/>
      <c r="H103" s="1"/>
    </row>
    <row r="104" spans="7:8">
      <c r="G104" s="1"/>
      <c r="H104" s="1"/>
    </row>
    <row r="105" spans="7:8">
      <c r="G105" s="1"/>
      <c r="H105" s="1"/>
    </row>
    <row r="106" spans="7:8">
      <c r="G106" s="1"/>
      <c r="H106" s="1"/>
    </row>
    <row r="107" spans="7:8">
      <c r="G107" s="1"/>
      <c r="H107" s="1"/>
    </row>
    <row r="108" spans="7:8">
      <c r="G108" s="1"/>
      <c r="H108" s="1"/>
    </row>
    <row r="109" spans="7:8">
      <c r="G109" s="1"/>
      <c r="H109" s="1"/>
    </row>
    <row r="110" spans="7:8">
      <c r="G110" s="1"/>
      <c r="H110" s="1"/>
    </row>
    <row r="111" spans="7:8">
      <c r="G111" s="1"/>
      <c r="H111" s="1"/>
    </row>
    <row r="112" spans="7:8">
      <c r="G112" s="1"/>
      <c r="H112" s="1"/>
    </row>
    <row r="113" spans="7:8">
      <c r="G113" s="1"/>
      <c r="H113" s="1"/>
    </row>
    <row r="114" spans="7:8">
      <c r="G114" s="1"/>
      <c r="H114" s="1"/>
    </row>
    <row r="115" spans="7:8">
      <c r="G115" s="1"/>
      <c r="H115" s="1"/>
    </row>
    <row r="116" spans="7:8">
      <c r="G116" s="1"/>
      <c r="H116" s="1"/>
    </row>
    <row r="117" spans="7:8">
      <c r="G117" s="1"/>
      <c r="H117" s="1"/>
    </row>
    <row r="118" spans="7:8">
      <c r="G118" s="1"/>
      <c r="H118" s="1"/>
    </row>
    <row r="119" spans="7:8">
      <c r="G119" s="1"/>
      <c r="H119" s="1"/>
    </row>
    <row r="120" spans="7:8">
      <c r="G120" s="1"/>
      <c r="H120" s="1"/>
    </row>
    <row r="121" spans="7:8">
      <c r="G121" s="1"/>
      <c r="H121" s="1"/>
    </row>
    <row r="122" spans="7:8">
      <c r="G122" s="1"/>
      <c r="H122" s="1"/>
    </row>
    <row r="123" spans="7:8">
      <c r="G123" s="1"/>
      <c r="H123" s="1"/>
    </row>
    <row r="124" spans="7:8">
      <c r="G124" s="1"/>
      <c r="H124" s="1"/>
    </row>
    <row r="125" spans="7:8">
      <c r="G125" s="1"/>
      <c r="H125" s="1"/>
    </row>
    <row r="126" spans="7:8">
      <c r="G126" s="1"/>
      <c r="H126" s="1"/>
    </row>
    <row r="127" spans="7:8">
      <c r="G127" s="1"/>
      <c r="H127" s="1"/>
    </row>
    <row r="128" spans="7:8">
      <c r="G128" s="1"/>
      <c r="H128" s="1"/>
    </row>
    <row r="129" spans="7:8">
      <c r="G129" s="1"/>
      <c r="H129" s="1"/>
    </row>
    <row r="130" spans="7:8">
      <c r="G130" s="1"/>
      <c r="H130" s="1"/>
    </row>
    <row r="131" spans="7:8">
      <c r="G131" s="1"/>
      <c r="H131" s="1"/>
    </row>
    <row r="132" spans="7:8">
      <c r="G132" s="1"/>
      <c r="H132" s="1"/>
    </row>
    <row r="133" spans="7:8">
      <c r="G133" s="1"/>
      <c r="H133" s="1"/>
    </row>
    <row r="134" spans="7:8">
      <c r="G134" s="1"/>
      <c r="H134" s="1"/>
    </row>
    <row r="135" spans="7:8">
      <c r="G135" s="1"/>
      <c r="H135" s="1"/>
    </row>
    <row r="136" spans="7:8">
      <c r="G136" s="1"/>
      <c r="H136" s="10"/>
    </row>
    <row r="137" spans="7:8">
      <c r="G137" s="1"/>
      <c r="H137" s="1"/>
    </row>
    <row r="138" spans="7:8">
      <c r="G138" s="1"/>
      <c r="H138" s="1"/>
    </row>
    <row r="139" spans="7:8">
      <c r="G139" s="1"/>
      <c r="H139" s="1"/>
    </row>
    <row r="140" spans="7:8">
      <c r="G140" s="1"/>
      <c r="H140" s="1"/>
    </row>
    <row r="141" spans="7:8">
      <c r="G141" s="1"/>
      <c r="H141" s="1"/>
    </row>
    <row r="142" spans="7:8">
      <c r="G142" s="1"/>
      <c r="H142" s="1"/>
    </row>
    <row r="143" spans="7:8">
      <c r="G143" s="1"/>
      <c r="H143" s="1"/>
    </row>
    <row r="144" spans="7:8">
      <c r="G144" s="1"/>
      <c r="H144" s="1"/>
    </row>
    <row r="145" spans="7:8">
      <c r="G145" s="1"/>
      <c r="H145" s="1"/>
    </row>
    <row r="146" spans="7:8">
      <c r="G146" s="1"/>
      <c r="H146" s="1"/>
    </row>
    <row r="147" spans="7:8">
      <c r="G147" s="1"/>
      <c r="H147" s="1"/>
    </row>
    <row r="148" spans="7:8">
      <c r="G148" s="1"/>
      <c r="H148" s="1"/>
    </row>
    <row r="149" spans="7:8">
      <c r="G149" s="1"/>
      <c r="H149" s="1"/>
    </row>
    <row r="150" spans="7:8">
      <c r="G150" s="1"/>
      <c r="H150" s="1"/>
    </row>
    <row r="151" spans="7:8">
      <c r="G151" s="1"/>
      <c r="H151" s="1"/>
    </row>
    <row r="152" spans="7:8">
      <c r="G152" s="1"/>
      <c r="H152" s="1"/>
    </row>
    <row r="153" spans="7:8">
      <c r="G153" s="1"/>
      <c r="H153" s="1"/>
    </row>
    <row r="154" spans="7:8">
      <c r="G154" s="1"/>
      <c r="H154" s="1"/>
    </row>
    <row r="155" spans="7:8">
      <c r="G155" s="1"/>
      <c r="H155" s="1"/>
    </row>
    <row r="156" spans="7:8">
      <c r="G156" s="1"/>
      <c r="H156" s="1"/>
    </row>
    <row r="157" spans="7:8">
      <c r="G157" s="1"/>
      <c r="H157" s="1"/>
    </row>
    <row r="158" spans="7:8">
      <c r="G158" s="1"/>
      <c r="H158" s="1"/>
    </row>
    <row r="159" spans="7:8">
      <c r="G159" s="1"/>
      <c r="H159" s="1"/>
    </row>
    <row r="160" spans="7:8">
      <c r="G160" s="1"/>
      <c r="H160" s="1"/>
    </row>
    <row r="161" spans="7:8">
      <c r="G161" s="1"/>
      <c r="H161" s="1"/>
    </row>
    <row r="162" spans="7:8">
      <c r="G162" s="1"/>
      <c r="H162" s="1"/>
    </row>
    <row r="163" spans="7:8">
      <c r="G163" s="1"/>
      <c r="H163" s="1"/>
    </row>
    <row r="164" spans="7:8">
      <c r="G164" s="1"/>
      <c r="H164" s="1"/>
    </row>
    <row r="165" spans="7:8">
      <c r="G165" s="1"/>
      <c r="H165" s="1"/>
    </row>
    <row r="166" spans="7:8">
      <c r="G166" s="1"/>
      <c r="H166" s="1"/>
    </row>
    <row r="167" spans="7:8">
      <c r="G167" s="1"/>
      <c r="H167" s="1"/>
    </row>
    <row r="168" spans="7:8">
      <c r="G168" s="1"/>
      <c r="H168" s="1"/>
    </row>
    <row r="169" spans="7:8">
      <c r="G169" s="1"/>
      <c r="H169" s="1"/>
    </row>
    <row r="170" spans="7:8">
      <c r="G170" s="1"/>
      <c r="H170" s="1"/>
    </row>
    <row r="171" spans="7:8">
      <c r="G171" s="1"/>
      <c r="H171" s="1"/>
    </row>
    <row r="172" spans="7:8">
      <c r="G172" s="1"/>
      <c r="H172" s="1"/>
    </row>
    <row r="173" spans="7:8">
      <c r="G173" s="1"/>
      <c r="H173" s="1"/>
    </row>
    <row r="174" spans="7:8">
      <c r="G174" s="1"/>
      <c r="H174" s="1"/>
    </row>
    <row r="175" spans="7:8">
      <c r="G175" s="1"/>
      <c r="H175" s="1"/>
    </row>
    <row r="176" spans="7:8">
      <c r="G176" s="1"/>
      <c r="H176" s="1"/>
    </row>
    <row r="177" spans="7:8">
      <c r="G177" s="1"/>
      <c r="H177" s="1"/>
    </row>
    <row r="178" spans="7:8">
      <c r="G178" s="1"/>
      <c r="H178" s="1"/>
    </row>
    <row r="179" spans="7:8">
      <c r="G179" s="1"/>
      <c r="H179" s="1"/>
    </row>
    <row r="180" spans="7:8">
      <c r="G180" s="1"/>
      <c r="H180" s="1"/>
    </row>
    <row r="181" spans="7:8">
      <c r="G181" s="1"/>
      <c r="H181" s="1"/>
    </row>
    <row r="182" spans="7:8">
      <c r="G182" s="1"/>
      <c r="H182" s="1"/>
    </row>
    <row r="183" spans="7:8">
      <c r="G183" s="1"/>
      <c r="H183" s="1"/>
    </row>
    <row r="184" spans="7:8">
      <c r="G184" s="1"/>
      <c r="H184" s="1"/>
    </row>
    <row r="185" spans="7:8">
      <c r="G185" s="1"/>
      <c r="H185" s="1"/>
    </row>
    <row r="186" spans="7:8">
      <c r="G186" s="1"/>
      <c r="H186" s="1"/>
    </row>
    <row r="187" spans="7:8">
      <c r="G187" s="1"/>
      <c r="H187" s="1"/>
    </row>
    <row r="188" spans="7:8">
      <c r="G188" s="1"/>
      <c r="H188" s="1"/>
    </row>
    <row r="189" spans="7:8">
      <c r="G189" s="1"/>
      <c r="H189" s="1"/>
    </row>
    <row r="190" spans="7:8">
      <c r="G190" s="1"/>
      <c r="H190" s="1"/>
    </row>
    <row r="191" spans="7:8">
      <c r="G191" s="1"/>
      <c r="H191" s="1"/>
    </row>
    <row r="192" spans="7:8">
      <c r="G192" s="1"/>
      <c r="H192" s="1"/>
    </row>
    <row r="193" spans="7:8">
      <c r="G193" s="1"/>
      <c r="H193" s="1"/>
    </row>
    <row r="194" spans="7:8">
      <c r="G194" s="1"/>
      <c r="H194" s="1"/>
    </row>
    <row r="195" spans="7:8">
      <c r="G195" s="1"/>
      <c r="H195" s="1"/>
    </row>
    <row r="196" spans="7:8">
      <c r="G196" s="1"/>
      <c r="H196" s="1"/>
    </row>
    <row r="197" spans="7:8">
      <c r="G197" s="1"/>
      <c r="H197" s="1"/>
    </row>
    <row r="198" spans="7:8">
      <c r="G198" s="1"/>
      <c r="H198" s="1"/>
    </row>
    <row r="199" spans="7:8">
      <c r="G199" s="1"/>
      <c r="H199" s="1"/>
    </row>
    <row r="200" spans="7:8">
      <c r="G200" s="1"/>
      <c r="H200" s="1"/>
    </row>
    <row r="201" spans="7:8">
      <c r="G201" s="1"/>
      <c r="H201" s="1"/>
    </row>
    <row r="202" spans="7:8">
      <c r="G202" s="1"/>
      <c r="H202" s="1"/>
    </row>
    <row r="203" spans="7:8">
      <c r="G203" s="1"/>
      <c r="H203" s="1"/>
    </row>
    <row r="204" spans="7:8">
      <c r="G204" s="1"/>
      <c r="H204" s="1"/>
    </row>
    <row r="205" spans="7:8">
      <c r="G205" s="1"/>
      <c r="H205" s="1"/>
    </row>
    <row r="206" spans="7:8">
      <c r="G206" s="1"/>
      <c r="H206" s="1"/>
    </row>
    <row r="207" spans="7:8">
      <c r="G207" s="1"/>
      <c r="H207" s="1"/>
    </row>
    <row r="208" spans="7:8">
      <c r="G208" s="1"/>
      <c r="H208" s="1"/>
    </row>
    <row r="209" spans="7:8">
      <c r="G209" s="1"/>
      <c r="H209" s="1"/>
    </row>
    <row r="210" spans="7:8">
      <c r="G210" s="1"/>
      <c r="H210" s="1"/>
    </row>
    <row r="211" spans="7:8">
      <c r="G211" s="1"/>
      <c r="H211" s="1"/>
    </row>
    <row r="212" spans="7:8">
      <c r="G212" s="1"/>
      <c r="H212" s="1"/>
    </row>
    <row r="213" spans="7:8">
      <c r="G213" s="1"/>
      <c r="H213" s="1"/>
    </row>
    <row r="214" spans="7:8">
      <c r="G214" s="1"/>
      <c r="H214" s="1"/>
    </row>
    <row r="215" spans="7:8">
      <c r="G215" s="1"/>
      <c r="H215" s="1"/>
    </row>
    <row r="216" spans="7:8">
      <c r="G216" s="1"/>
      <c r="H216" s="1"/>
    </row>
    <row r="217" spans="7:8">
      <c r="G217" s="1"/>
      <c r="H217" s="1"/>
    </row>
    <row r="218" spans="7:8">
      <c r="G218" s="1"/>
      <c r="H218" s="1"/>
    </row>
    <row r="219" spans="7:8">
      <c r="G219" s="1"/>
      <c r="H219" s="1"/>
    </row>
    <row r="220" spans="7:8">
      <c r="G220" s="1"/>
      <c r="H220" s="1"/>
    </row>
    <row r="221" spans="7:8">
      <c r="G221" s="1"/>
      <c r="H221" s="1"/>
    </row>
    <row r="222" spans="7:8">
      <c r="G222" s="1"/>
      <c r="H222" s="1"/>
    </row>
    <row r="223" spans="7:8">
      <c r="G223" s="1"/>
      <c r="H223" s="1"/>
    </row>
    <row r="224" spans="7:8">
      <c r="G224" s="1"/>
      <c r="H224" s="1"/>
    </row>
    <row r="225" spans="7:8">
      <c r="G225" s="1"/>
      <c r="H225" s="1"/>
    </row>
    <row r="226" spans="7:8">
      <c r="G226" s="1"/>
      <c r="H226" s="1"/>
    </row>
    <row r="227" spans="7:8">
      <c r="G227" s="1"/>
      <c r="H227" s="1"/>
    </row>
    <row r="228" spans="7:8">
      <c r="G228" s="1"/>
      <c r="H228" s="1"/>
    </row>
    <row r="229" spans="7:8">
      <c r="G229" s="1"/>
      <c r="H229" s="1"/>
    </row>
    <row r="230" spans="7:8">
      <c r="G230" s="1"/>
      <c r="H230" s="1"/>
    </row>
    <row r="231" spans="7:8">
      <c r="G231" s="1"/>
      <c r="H231" s="1"/>
    </row>
    <row r="232" spans="7:8">
      <c r="G232" s="1"/>
      <c r="H232" s="1"/>
    </row>
    <row r="233" spans="7:8">
      <c r="G233" s="1"/>
      <c r="H233" s="1"/>
    </row>
    <row r="234" spans="7:8">
      <c r="G234" s="1"/>
      <c r="H234" s="1"/>
    </row>
    <row r="235" spans="7:8">
      <c r="G235" s="1"/>
      <c r="H235" s="1"/>
    </row>
    <row r="236" spans="7:8">
      <c r="G236" s="1"/>
      <c r="H236" s="1"/>
    </row>
    <row r="237" spans="7:8">
      <c r="G237" s="1"/>
      <c r="H237" s="1"/>
    </row>
    <row r="238" spans="7:8">
      <c r="G238" s="1"/>
      <c r="H238" s="1"/>
    </row>
    <row r="239" spans="7:8">
      <c r="G239" s="1"/>
      <c r="H239" s="1"/>
    </row>
    <row r="240" spans="7:8">
      <c r="G240" s="1"/>
      <c r="H240" s="1"/>
    </row>
    <row r="241" spans="7:8">
      <c r="G241" s="1"/>
      <c r="H241" s="1"/>
    </row>
    <row r="242" spans="7:8">
      <c r="G242" s="1"/>
      <c r="H242" s="1"/>
    </row>
    <row r="243" spans="7:8">
      <c r="G243" s="1"/>
      <c r="H243" s="1"/>
    </row>
    <row r="244" spans="7:8">
      <c r="G244" s="1"/>
      <c r="H244" s="1"/>
    </row>
    <row r="245" spans="7:8">
      <c r="G245" s="1"/>
      <c r="H245" s="1"/>
    </row>
    <row r="246" spans="7:8">
      <c r="G246" s="1"/>
      <c r="H246" s="1"/>
    </row>
    <row r="247" spans="7:8">
      <c r="G247" s="1"/>
      <c r="H247" s="1"/>
    </row>
    <row r="248" spans="7:8">
      <c r="G248" s="1"/>
      <c r="H248" s="1"/>
    </row>
    <row r="249" spans="7:8">
      <c r="G249" s="1"/>
      <c r="H249" s="1"/>
    </row>
    <row r="250" spans="7:8">
      <c r="G250" s="1"/>
      <c r="H250" s="1"/>
    </row>
    <row r="251" spans="7:8">
      <c r="G251" s="1"/>
      <c r="H251" s="1"/>
    </row>
    <row r="252" spans="7:8">
      <c r="G252" s="1"/>
      <c r="H252" s="1"/>
    </row>
    <row r="253" spans="7:8">
      <c r="G253" s="1"/>
      <c r="H253" s="1"/>
    </row>
    <row r="254" spans="7:8">
      <c r="G254" s="1"/>
      <c r="H254" s="1"/>
    </row>
    <row r="255" spans="7:8">
      <c r="G255" s="1"/>
      <c r="H255" s="1"/>
    </row>
    <row r="256" spans="7:8">
      <c r="G256" s="1"/>
      <c r="H256" s="1"/>
    </row>
    <row r="257" spans="7:8">
      <c r="G257" s="1"/>
      <c r="H257" s="1"/>
    </row>
    <row r="258" spans="7:8">
      <c r="G258" s="1"/>
      <c r="H258" s="1"/>
    </row>
    <row r="259" spans="7:8">
      <c r="G259" s="1"/>
      <c r="H259" s="1"/>
    </row>
    <row r="260" spans="7:8">
      <c r="G260" s="1"/>
      <c r="H260" s="1"/>
    </row>
    <row r="261" spans="7:8">
      <c r="G261" s="1"/>
      <c r="H261" s="1"/>
    </row>
    <row r="262" spans="7:8">
      <c r="G262" s="1"/>
      <c r="H262" s="1"/>
    </row>
    <row r="263" spans="7:8">
      <c r="G263" s="1"/>
      <c r="H263" s="1"/>
    </row>
    <row r="264" spans="7:8">
      <c r="G264" s="1"/>
      <c r="H264" s="1"/>
    </row>
    <row r="265" spans="7:8">
      <c r="G265" s="1"/>
      <c r="H265" s="1"/>
    </row>
    <row r="266" spans="7:8">
      <c r="G266" s="1"/>
      <c r="H266" s="1"/>
    </row>
    <row r="267" spans="7:8">
      <c r="G267" s="1"/>
      <c r="H267" s="1"/>
    </row>
    <row r="268" spans="7:8">
      <c r="G268" s="1"/>
      <c r="H268" s="1"/>
    </row>
    <row r="269" spans="7:8">
      <c r="G269" s="1"/>
      <c r="H269" s="1"/>
    </row>
    <row r="270" spans="7:8">
      <c r="G270" s="1"/>
      <c r="H270" s="1"/>
    </row>
    <row r="271" spans="7:8">
      <c r="G271" s="1"/>
      <c r="H271" s="1"/>
    </row>
    <row r="272" spans="7:8">
      <c r="G272" s="1"/>
      <c r="H272" s="1"/>
    </row>
    <row r="273" spans="7:8">
      <c r="G273" s="1"/>
      <c r="H273" s="1"/>
    </row>
    <row r="274" spans="7:8">
      <c r="G274" s="1"/>
      <c r="H274" s="1"/>
    </row>
    <row r="275" spans="7:8">
      <c r="G275" s="1"/>
      <c r="H275" s="1"/>
    </row>
    <row r="276" spans="7:8">
      <c r="G276" s="1"/>
      <c r="H276" s="1"/>
    </row>
    <row r="277" spans="7:8">
      <c r="G277" s="1"/>
      <c r="H277" s="1"/>
    </row>
    <row r="278" spans="7:8">
      <c r="G278" s="1"/>
      <c r="H278" s="1"/>
    </row>
    <row r="279" spans="7:8">
      <c r="G279" s="1"/>
      <c r="H279" s="1"/>
    </row>
    <row r="280" spans="7:8">
      <c r="G280" s="1"/>
      <c r="H280" s="1"/>
    </row>
    <row r="281" spans="7:8">
      <c r="G281" s="1"/>
      <c r="H281" s="1"/>
    </row>
    <row r="282" spans="7:8">
      <c r="G282" s="1"/>
      <c r="H282" s="1"/>
    </row>
    <row r="283" spans="7:8">
      <c r="G283" s="1"/>
      <c r="H283" s="1"/>
    </row>
    <row r="284" spans="7:8">
      <c r="G284" s="1"/>
      <c r="H284" s="1"/>
    </row>
    <row r="285" spans="7:8">
      <c r="G285" s="1"/>
      <c r="H285" s="1"/>
    </row>
    <row r="286" spans="7:8">
      <c r="G286" s="1"/>
      <c r="H286" s="1"/>
    </row>
    <row r="287" spans="7:8">
      <c r="G287" s="1"/>
      <c r="H287" s="1"/>
    </row>
    <row r="288" spans="7:8">
      <c r="G288" s="1"/>
      <c r="H288" s="1"/>
    </row>
    <row r="289" spans="7:8">
      <c r="G289" s="1"/>
      <c r="H289" s="1"/>
    </row>
    <row r="290" spans="7:8">
      <c r="G290" s="1"/>
      <c r="H290" s="1"/>
    </row>
    <row r="291" spans="7:8">
      <c r="G291" s="1"/>
      <c r="H291" s="1"/>
    </row>
    <row r="292" spans="7:8">
      <c r="G292" s="1"/>
      <c r="H292" s="1"/>
    </row>
    <row r="293" spans="7:8">
      <c r="G293" s="1"/>
      <c r="H293" s="1"/>
    </row>
    <row r="294" spans="7:8">
      <c r="G294" s="1"/>
      <c r="H294" s="1"/>
    </row>
    <row r="295" spans="7:8">
      <c r="G295" s="1"/>
      <c r="H295" s="1"/>
    </row>
    <row r="296" spans="7:8">
      <c r="G296" s="1"/>
      <c r="H296" s="1"/>
    </row>
    <row r="297" spans="7:8">
      <c r="G297" s="1"/>
      <c r="H297" s="1"/>
    </row>
    <row r="298" spans="7:8">
      <c r="G298" s="1"/>
      <c r="H298" s="1"/>
    </row>
    <row r="299" spans="7:8">
      <c r="G299" s="1"/>
      <c r="H299" s="1"/>
    </row>
    <row r="300" spans="7:8">
      <c r="G300" s="1"/>
      <c r="H300" s="1"/>
    </row>
    <row r="301" spans="7:8">
      <c r="G301" s="1"/>
      <c r="H301" s="1"/>
    </row>
    <row r="302" spans="7:8">
      <c r="G302" s="1"/>
      <c r="H302" s="1"/>
    </row>
    <row r="303" spans="7:8">
      <c r="G303" s="1"/>
      <c r="H303" s="1"/>
    </row>
    <row r="304" spans="7:8">
      <c r="G304" s="1"/>
      <c r="H304" s="1"/>
    </row>
    <row r="305" spans="7:8">
      <c r="G305" s="1"/>
      <c r="H305" s="1"/>
    </row>
    <row r="306" spans="7:8">
      <c r="G306" s="1"/>
      <c r="H306" s="1"/>
    </row>
    <row r="307" spans="7:8">
      <c r="G307" s="1"/>
      <c r="H307" s="1"/>
    </row>
    <row r="308" spans="7:8">
      <c r="G308" s="1"/>
      <c r="H308" s="1"/>
    </row>
    <row r="309" spans="7:8">
      <c r="G309" s="1"/>
      <c r="H309" s="1"/>
    </row>
    <row r="310" spans="7:8">
      <c r="G310" s="1"/>
      <c r="H310" s="1"/>
    </row>
    <row r="311" spans="7:8">
      <c r="G311" s="1"/>
      <c r="H311" s="1"/>
    </row>
    <row r="312" spans="7:8">
      <c r="G312" s="1"/>
      <c r="H312" s="1"/>
    </row>
    <row r="313" spans="7:8">
      <c r="G313" s="1"/>
      <c r="H313" s="1"/>
    </row>
    <row r="314" spans="7:8">
      <c r="G314" s="1"/>
      <c r="H314" s="1"/>
    </row>
    <row r="315" spans="7:8">
      <c r="G315" s="1"/>
      <c r="H315" s="1"/>
    </row>
    <row r="316" spans="7:8">
      <c r="G316" s="1"/>
      <c r="H316" s="1"/>
    </row>
    <row r="317" spans="7:8">
      <c r="G317" s="1"/>
      <c r="H317" s="1"/>
    </row>
    <row r="318" spans="7:8">
      <c r="G318" s="1"/>
      <c r="H318" s="1"/>
    </row>
    <row r="319" spans="7:8">
      <c r="G319" s="1"/>
      <c r="H319" s="1"/>
    </row>
    <row r="320" spans="7:8">
      <c r="G320" s="1"/>
      <c r="H320" s="1"/>
    </row>
    <row r="321" spans="7:8">
      <c r="G321" s="1"/>
      <c r="H321" s="1"/>
    </row>
    <row r="322" spans="7:8">
      <c r="G322" s="1"/>
      <c r="H322" s="1"/>
    </row>
    <row r="323" spans="7:8">
      <c r="G323" s="1"/>
      <c r="H323" s="1"/>
    </row>
    <row r="324" spans="7:8">
      <c r="G324" s="1"/>
      <c r="H324" s="1"/>
    </row>
    <row r="325" spans="7:8">
      <c r="G325" s="1"/>
      <c r="H325" s="1"/>
    </row>
    <row r="326" spans="7:8">
      <c r="G326" s="1"/>
      <c r="H326" s="1"/>
    </row>
    <row r="327" spans="7:8">
      <c r="G327" s="1"/>
      <c r="H327" s="1"/>
    </row>
    <row r="328" spans="7:8">
      <c r="G328" s="1"/>
      <c r="H328" s="1"/>
    </row>
    <row r="329" spans="7:8">
      <c r="G329" s="1"/>
      <c r="H329" s="1"/>
    </row>
    <row r="330" spans="7:8">
      <c r="G330" s="1"/>
      <c r="H330" s="1"/>
    </row>
    <row r="331" spans="7:8">
      <c r="G331" s="1"/>
      <c r="H331" s="1"/>
    </row>
    <row r="332" spans="7:8">
      <c r="G332" s="1"/>
      <c r="H332" s="1"/>
    </row>
    <row r="333" spans="7:8">
      <c r="G333" s="1"/>
      <c r="H333" s="1"/>
    </row>
    <row r="334" spans="7:8">
      <c r="G334" s="1"/>
      <c r="H334" s="1"/>
    </row>
    <row r="335" spans="7:8">
      <c r="G335" s="1"/>
      <c r="H335" s="1"/>
    </row>
    <row r="336" spans="7:8">
      <c r="G336" s="1"/>
      <c r="H336" s="1"/>
    </row>
    <row r="337" spans="7:8">
      <c r="G337" s="1"/>
      <c r="H337" s="1"/>
    </row>
  </sheetData>
  <autoFilter xmlns:etc="http://www.wps.cn/officeDocument/2017/etCustomData" ref="A1:M81" etc:filterBottomFollowUsedRange="0">
    <extLst/>
  </autoFilter>
  <mergeCells count="3">
    <mergeCell ref="I3:M60"/>
    <mergeCell ref="A61:M63"/>
    <mergeCell ref="D64:G81"/>
  </mergeCells>
  <dataValidations count="6">
    <dataValidation allowBlank="1" showInputMessage="1" showErrorMessage="1" promptTitle="注意，此处是初步标签" prompt="注意，此处是初步标签" sqref="G1 G3 G4:H4 G214:H214 G228:H228 G236:H236 G237 G238:H238 G248:H248 H260 G265:H265 G272:H272 G280:H280 G302:H302 G306:H306 G318:H318 G5:G213 G215:G227 G229:G235 G239:G247 G249:G252 G254:G259 G261:G264 G266:G271 G273:G279 G288:G301 G303:G305 G307:G312 G315:G317 G319:G1048576 H20:H21"/>
    <dataValidation allowBlank="1" showInputMessage="1" showErrorMessage="1" promptTitle="注意，这个是研判后标签" prompt="注意，这个是研判后标签" sqref="H1 H3 H237 H282 H319 H5:H19 H22:H37 H39:H43 H45:H60 H82:H213 H215:H227 H229:H235 H239:H247 H249:H259 H261:H264 H266:H271 H273:H279 H288:H301 H303:H305 H307:H312 H315:H317 H321:H322 H324:H327 H329:H1048576"/>
    <dataValidation type="list" allowBlank="1" showInputMessage="1" showErrorMessage="1" sqref="B3:B1048576">
      <formula1>"user,worker,tech,gov"</formula1>
    </dataValidation>
    <dataValidation type="list" allowBlank="1" showInputMessage="1" showErrorMessage="1" sqref="C3:C1048576">
      <formula1>"P.R. China,United States,European Union,Kenya"</formula1>
    </dataValidation>
    <dataValidation type="list" allowBlank="1" showInputMessage="1" showErrorMessage="1" sqref="D3:D60 D81:E1048576">
      <formula1>"DeepSeek Reasoner V3.2,OpenAI ChatGPT 5.4 Pro,Google Gemini 3.1 Pro Preview,Doubao Seed 2.0 Pro"</formula1>
    </dataValidation>
    <dataValidation type="list" allowBlank="1" showInputMessage="1" showErrorMessage="1" sqref="M3:M1048576">
      <formula1>"1(4/4),0.75(3/4),0.6(2/4+votepass),0.4(2/4+votedenied),0.25(1/4)"</formula1>
    </dataValidation>
  </dataValidations>
  <pageMargins left="0.75" right="0.75" top="1" bottom="1" header="0.5" footer="0.5"/>
  <headerFooter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8"/>
  <sheetViews>
    <sheetView zoomScale="85" zoomScaleNormal="85" topLeftCell="C1" workbookViewId="0">
      <pane ySplit="2" topLeftCell="A3" activePane="bottomLeft" state="frozen"/>
      <selection/>
      <selection pane="bottomLeft" activeCell="M55" sqref="M55"/>
    </sheetView>
  </sheetViews>
  <sheetFormatPr defaultColWidth="8.61261261261261" defaultRowHeight="14.1"/>
  <cols>
    <col min="1" max="1" width="20.7117117117117" customWidth="1"/>
    <col min="2" max="2" width="11.7027027027027" customWidth="1"/>
    <col min="3" max="3" width="19.5495495495495" customWidth="1"/>
    <col min="4" max="4" width="25.1621621621622" customWidth="1"/>
    <col min="5" max="5" width="9.46846846846847" customWidth="1"/>
    <col min="6" max="6" width="12.8558558558559" customWidth="1"/>
    <col min="7" max="7" width="30.4144144144144" customWidth="1"/>
    <col min="8" max="8" width="34.0810810810811" customWidth="1"/>
    <col min="9" max="9" width="11.7027027027027" customWidth="1"/>
    <col min="10" max="10" width="13.9369369369369" customWidth="1"/>
    <col min="11" max="11" width="11.7027027027027" customWidth="1"/>
    <col min="12" max="12" width="20.7117117117117" customWidth="1"/>
    <col min="13" max="13" width="17.3243243243243" customWidth="1"/>
  </cols>
  <sheetData>
    <row r="1" spans="1:13">
      <c r="A1" s="3" t="s">
        <v>6</v>
      </c>
      <c r="B1" s="3" t="s">
        <v>266</v>
      </c>
      <c r="C1" s="3" t="s">
        <v>267</v>
      </c>
      <c r="D1" s="3" t="s">
        <v>268</v>
      </c>
      <c r="E1" s="3" t="s">
        <v>497</v>
      </c>
      <c r="F1" s="3" t="s">
        <v>269</v>
      </c>
      <c r="G1" s="3" t="s">
        <v>270</v>
      </c>
      <c r="H1" s="3" t="s">
        <v>271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</row>
    <row r="2" spans="1:13">
      <c r="A2" s="3" t="s">
        <v>272</v>
      </c>
      <c r="B2" s="3" t="s">
        <v>272</v>
      </c>
      <c r="C2" s="3" t="s">
        <v>272</v>
      </c>
      <c r="D2" s="3" t="s">
        <v>272</v>
      </c>
      <c r="E2" s="3"/>
      <c r="F2" s="3" t="str">
        <f t="shared" ref="F2:F7" si="0">IF(OR(D2="Doubao Seed 2.0 Pro",D2="DeepSeek Reasoner V3.2"),"China","US")</f>
        <v>US</v>
      </c>
      <c r="G2" s="3" t="s">
        <v>272</v>
      </c>
      <c r="H2" s="3" t="s">
        <v>272</v>
      </c>
      <c r="I2" s="3" t="s">
        <v>272</v>
      </c>
      <c r="J2" s="3">
        <f ca="1">RANDBETWEEN(10000,99999)</f>
        <v>65519</v>
      </c>
      <c r="K2" s="3" t="str">
        <f ca="1">IF(MOD(J2,2)=0,"China-backup","US-backup")</f>
        <v>US-backup</v>
      </c>
      <c r="L2" s="3" t="s">
        <v>272</v>
      </c>
      <c r="M2" s="3" t="s">
        <v>272</v>
      </c>
    </row>
    <row r="3" spans="1:13">
      <c r="A3" s="3" t="str">
        <f>C3&amp;"-"&amp;B3</f>
        <v>Kenya-tech</v>
      </c>
      <c r="B3" s="3" t="s">
        <v>61</v>
      </c>
      <c r="C3" s="3" t="s">
        <v>35</v>
      </c>
      <c r="D3" s="3" t="s">
        <v>273</v>
      </c>
      <c r="E3" s="3" cm="1">
        <f t="array" ref="E3">_xlfn.IFS(D3="Doubao Seed 2.0 Pro",1,D3="Deepseek Reasoner V3.2",2,D3="Google Gemini 3.1 Pro Preview",3,D3="OpenAI ChatGPT 5.4 Pro",4)</f>
        <v>1</v>
      </c>
      <c r="F3" s="3" t="str">
        <f t="shared" si="0"/>
        <v>China</v>
      </c>
      <c r="G3" s="3" t="s">
        <v>515</v>
      </c>
      <c r="H3" s="3" t="s">
        <v>63</v>
      </c>
      <c r="I3" s="4" t="s">
        <v>197</v>
      </c>
      <c r="J3" s="4"/>
      <c r="K3" s="4"/>
      <c r="L3" s="4"/>
      <c r="M3" s="4"/>
    </row>
    <row r="4" spans="1:13">
      <c r="A4" s="3" t="str">
        <f>C4&amp;"-"&amp;B4</f>
        <v>Kenya-tech</v>
      </c>
      <c r="B4" s="3" t="s">
        <v>61</v>
      </c>
      <c r="C4" s="3" t="s">
        <v>35</v>
      </c>
      <c r="D4" s="3" t="s">
        <v>273</v>
      </c>
      <c r="E4" s="3" cm="1">
        <f t="array" ref="E4">_xlfn.IFS(D4="Doubao Seed 2.0 Pro",1,D4="Deepseek Reasoner V3.2",2,D4="Google Gemini 3.1 Pro Preview",3,D4="OpenAI ChatGPT 5.4 Pro",4)</f>
        <v>1</v>
      </c>
      <c r="F4" s="3" t="str">
        <f t="shared" si="0"/>
        <v>China</v>
      </c>
      <c r="G4" s="3" t="s">
        <v>392</v>
      </c>
      <c r="H4" s="3" t="s">
        <v>113</v>
      </c>
      <c r="I4" s="4"/>
      <c r="J4" s="4"/>
      <c r="K4" s="4"/>
      <c r="L4" s="4"/>
      <c r="M4" s="4"/>
    </row>
    <row r="5" spans="1:13">
      <c r="A5" s="3" t="str">
        <f>C5&amp;"-"&amp;B5</f>
        <v>Kenya-tech</v>
      </c>
      <c r="B5" s="3" t="s">
        <v>61</v>
      </c>
      <c r="C5" s="3" t="s">
        <v>35</v>
      </c>
      <c r="D5" s="3" t="s">
        <v>273</v>
      </c>
      <c r="E5" s="3" cm="1">
        <f t="array" ref="E5">_xlfn.IFS(D5="Doubao Seed 2.0 Pro",1,D5="Deepseek Reasoner V3.2",2,D5="Google Gemini 3.1 Pro Preview",3,D5="OpenAI ChatGPT 5.4 Pro",4)</f>
        <v>1</v>
      </c>
      <c r="F5" s="3" t="str">
        <f t="shared" si="0"/>
        <v>China</v>
      </c>
      <c r="G5" s="3" t="s">
        <v>390</v>
      </c>
      <c r="H5" s="3" t="s">
        <v>124</v>
      </c>
      <c r="I5" s="4"/>
      <c r="J5" s="4"/>
      <c r="K5" s="4"/>
      <c r="L5" s="4"/>
      <c r="M5" s="4"/>
    </row>
    <row r="6" spans="1:13">
      <c r="A6" s="3" t="str">
        <f>C6&amp;"-"&amp;B6</f>
        <v>Kenya-tech</v>
      </c>
      <c r="B6" s="3" t="s">
        <v>61</v>
      </c>
      <c r="C6" s="3" t="s">
        <v>35</v>
      </c>
      <c r="D6" s="3" t="s">
        <v>273</v>
      </c>
      <c r="E6" s="3" cm="1">
        <f t="array" ref="E6">_xlfn.IFS(D6="Doubao Seed 2.0 Pro",1,D6="Deepseek Reasoner V3.2",2,D6="Google Gemini 3.1 Pro Preview",3,D6="OpenAI ChatGPT 5.4 Pro",4)</f>
        <v>1</v>
      </c>
      <c r="F6" s="3" t="str">
        <f t="shared" si="0"/>
        <v>China</v>
      </c>
      <c r="G6" s="3" t="s">
        <v>325</v>
      </c>
      <c r="H6" s="3" t="s">
        <v>122</v>
      </c>
      <c r="I6" s="4"/>
      <c r="J6" s="4"/>
      <c r="K6" s="4"/>
      <c r="L6" s="4"/>
      <c r="M6" s="4"/>
    </row>
    <row r="7" spans="1:13">
      <c r="A7" s="3" t="str">
        <f>C7&amp;"-"&amp;B7</f>
        <v>Kenya-tech</v>
      </c>
      <c r="B7" s="3" t="s">
        <v>61</v>
      </c>
      <c r="C7" s="3" t="s">
        <v>35</v>
      </c>
      <c r="D7" s="3" t="s">
        <v>273</v>
      </c>
      <c r="E7" s="3" cm="1">
        <f t="array" ref="E7">_xlfn.IFS(D7="Doubao Seed 2.0 Pro",1,D7="Deepseek Reasoner V3.2",2,D7="Google Gemini 3.1 Pro Preview",3,D7="OpenAI ChatGPT 5.4 Pro",4)</f>
        <v>1</v>
      </c>
      <c r="F7" s="3" t="str">
        <f t="shared" si="0"/>
        <v>China</v>
      </c>
      <c r="G7" s="3" t="s">
        <v>418</v>
      </c>
      <c r="H7" s="3" t="s">
        <v>123</v>
      </c>
      <c r="I7" s="4"/>
      <c r="J7" s="4"/>
      <c r="K7" s="4"/>
      <c r="L7" s="4"/>
      <c r="M7" s="4"/>
    </row>
    <row r="8" spans="1:13">
      <c r="A8" s="3" t="str">
        <f t="shared" ref="A8:A18" si="1">C8&amp;"-"&amp;B8</f>
        <v>Kenya-tech</v>
      </c>
      <c r="B8" s="3" t="s">
        <v>61</v>
      </c>
      <c r="C8" s="3" t="s">
        <v>35</v>
      </c>
      <c r="D8" s="3" t="s">
        <v>273</v>
      </c>
      <c r="E8" s="3" cm="1">
        <f t="array" ref="E8">_xlfn.IFS(D8="Doubao Seed 2.0 Pro",1,D8="Deepseek Reasoner V3.2",2,D8="Google Gemini 3.1 Pro Preview",3,D8="OpenAI ChatGPT 5.4 Pro",4)</f>
        <v>1</v>
      </c>
      <c r="F8" s="3" t="str">
        <f t="shared" ref="F8:F18" si="2">IF(OR(D8="Doubao Seed 2.0 Pro",D8="DeepSeek Reasoner V3.2"),"China","US")</f>
        <v>China</v>
      </c>
      <c r="G8" s="3" t="s">
        <v>398</v>
      </c>
      <c r="H8" s="3" t="s">
        <v>94</v>
      </c>
      <c r="I8" s="4"/>
      <c r="J8" s="4"/>
      <c r="K8" s="4"/>
      <c r="L8" s="4"/>
      <c r="M8" s="4"/>
    </row>
    <row r="9" spans="1:13">
      <c r="A9" s="3" t="str">
        <f t="shared" si="1"/>
        <v>Kenya-tech</v>
      </c>
      <c r="B9" s="3" t="s">
        <v>61</v>
      </c>
      <c r="C9" s="3" t="s">
        <v>35</v>
      </c>
      <c r="D9" s="3" t="s">
        <v>273</v>
      </c>
      <c r="E9" s="3" cm="1">
        <f t="array" ref="E9">_xlfn.IFS(D9="Doubao Seed 2.0 Pro",1,D9="Deepseek Reasoner V3.2",2,D9="Google Gemini 3.1 Pro Preview",3,D9="OpenAI ChatGPT 5.4 Pro",4)</f>
        <v>1</v>
      </c>
      <c r="F9" s="3" t="str">
        <f t="shared" si="2"/>
        <v>China</v>
      </c>
      <c r="G9" s="3" t="s">
        <v>516</v>
      </c>
      <c r="H9" s="3" t="s">
        <v>63</v>
      </c>
      <c r="I9" s="4"/>
      <c r="J9" s="4"/>
      <c r="K9" s="4"/>
      <c r="L9" s="4"/>
      <c r="M9" s="4"/>
    </row>
    <row r="10" spans="1:13">
      <c r="A10" s="3" t="str">
        <f t="shared" si="1"/>
        <v>Kenya-tech</v>
      </c>
      <c r="B10" s="3" t="s">
        <v>61</v>
      </c>
      <c r="C10" s="3" t="s">
        <v>35</v>
      </c>
      <c r="D10" s="3" t="s">
        <v>273</v>
      </c>
      <c r="E10" s="3" cm="1">
        <f t="array" ref="E10">_xlfn.IFS(D10="Doubao Seed 2.0 Pro",1,D10="Deepseek Reasoner V3.2",2,D10="Google Gemini 3.1 Pro Preview",3,D10="OpenAI ChatGPT 5.4 Pro",4)</f>
        <v>1</v>
      </c>
      <c r="F10" s="3" t="str">
        <f t="shared" si="2"/>
        <v>China</v>
      </c>
      <c r="G10" s="3" t="s">
        <v>503</v>
      </c>
      <c r="H10" s="3" t="s">
        <v>98</v>
      </c>
      <c r="I10" s="4"/>
      <c r="J10" s="4"/>
      <c r="K10" s="4"/>
      <c r="L10" s="4"/>
      <c r="M10" s="4"/>
    </row>
    <row r="11" spans="1:13">
      <c r="A11" s="3" t="str">
        <f t="shared" si="1"/>
        <v>Kenya-tech</v>
      </c>
      <c r="B11" s="3" t="s">
        <v>61</v>
      </c>
      <c r="C11" s="3" t="s">
        <v>35</v>
      </c>
      <c r="D11" s="3" t="s">
        <v>273</v>
      </c>
      <c r="E11" s="3" cm="1">
        <f t="array" ref="E11">_xlfn.IFS(D11="Doubao Seed 2.0 Pro",1,D11="Deepseek Reasoner V3.2",2,D11="Google Gemini 3.1 Pro Preview",3,D11="OpenAI ChatGPT 5.4 Pro",4)</f>
        <v>1</v>
      </c>
      <c r="F11" s="3" t="str">
        <f t="shared" si="2"/>
        <v>China</v>
      </c>
      <c r="G11" s="3" t="s">
        <v>517</v>
      </c>
      <c r="H11" s="3" t="s">
        <v>254</v>
      </c>
      <c r="I11" s="4"/>
      <c r="J11" s="4"/>
      <c r="K11" s="4"/>
      <c r="L11" s="4"/>
      <c r="M11" s="4"/>
    </row>
    <row r="12" spans="1:13">
      <c r="A12" s="3" t="str">
        <f t="shared" si="1"/>
        <v>Kenya-tech</v>
      </c>
      <c r="B12" s="3" t="s">
        <v>61</v>
      </c>
      <c r="C12" s="3" t="s">
        <v>35</v>
      </c>
      <c r="D12" s="3" t="s">
        <v>273</v>
      </c>
      <c r="E12" s="3" cm="1">
        <f t="array" ref="E12">_xlfn.IFS(D12="Doubao Seed 2.0 Pro",1,D12="Deepseek Reasoner V3.2",2,D12="Google Gemini 3.1 Pro Preview",3,D12="OpenAI ChatGPT 5.4 Pro",4)</f>
        <v>1</v>
      </c>
      <c r="F12" s="3" t="str">
        <f t="shared" si="2"/>
        <v>China</v>
      </c>
      <c r="G12" s="3" t="s">
        <v>518</v>
      </c>
      <c r="H12" s="3" t="s">
        <v>63</v>
      </c>
      <c r="I12" s="4"/>
      <c r="J12" s="4"/>
      <c r="K12" s="4"/>
      <c r="L12" s="4"/>
      <c r="M12" s="4"/>
    </row>
    <row r="13" spans="1:13">
      <c r="A13" s="3" t="str">
        <f t="shared" si="1"/>
        <v>Kenya-tech</v>
      </c>
      <c r="B13" s="3" t="s">
        <v>61</v>
      </c>
      <c r="C13" s="3" t="s">
        <v>35</v>
      </c>
      <c r="D13" s="3" t="s">
        <v>273</v>
      </c>
      <c r="E13" s="3" cm="1">
        <f t="array" ref="E13">_xlfn.IFS(D13="Doubao Seed 2.0 Pro",1,D13="Deepseek Reasoner V3.2",2,D13="Google Gemini 3.1 Pro Preview",3,D13="OpenAI ChatGPT 5.4 Pro",4)</f>
        <v>1</v>
      </c>
      <c r="F13" s="3" t="str">
        <f t="shared" si="2"/>
        <v>China</v>
      </c>
      <c r="G13" s="3" t="s">
        <v>519</v>
      </c>
      <c r="H13" s="3" t="s">
        <v>63</v>
      </c>
      <c r="I13" s="4"/>
      <c r="J13" s="4"/>
      <c r="K13" s="4"/>
      <c r="L13" s="4"/>
      <c r="M13" s="4"/>
    </row>
    <row r="14" spans="1:13">
      <c r="A14" s="3" t="str">
        <f t="shared" si="1"/>
        <v>Kenya-tech</v>
      </c>
      <c r="B14" s="3" t="s">
        <v>61</v>
      </c>
      <c r="C14" s="3" t="s">
        <v>35</v>
      </c>
      <c r="D14" s="3" t="s">
        <v>273</v>
      </c>
      <c r="E14" s="3" cm="1">
        <f t="array" ref="E14">_xlfn.IFS(D14="Doubao Seed 2.0 Pro",1,D14="Deepseek Reasoner V3.2",2,D14="Google Gemini 3.1 Pro Preview",3,D14="OpenAI ChatGPT 5.4 Pro",4)</f>
        <v>1</v>
      </c>
      <c r="F14" s="3" t="str">
        <f t="shared" si="2"/>
        <v>China</v>
      </c>
      <c r="G14" s="3" t="s">
        <v>372</v>
      </c>
      <c r="H14" s="3" t="s">
        <v>131</v>
      </c>
      <c r="I14" s="4"/>
      <c r="J14" s="4"/>
      <c r="K14" s="4"/>
      <c r="L14" s="4"/>
      <c r="M14" s="4"/>
    </row>
    <row r="15" spans="1:13">
      <c r="A15" s="3" t="str">
        <f t="shared" si="1"/>
        <v>Kenya-tech</v>
      </c>
      <c r="B15" s="3" t="s">
        <v>61</v>
      </c>
      <c r="C15" s="3" t="s">
        <v>35</v>
      </c>
      <c r="D15" s="3" t="s">
        <v>297</v>
      </c>
      <c r="E15" s="3" cm="1">
        <f t="array" ref="E15">_xlfn.IFS(D15="Doubao Seed 2.0 Pro",1,D15="Deepseek Reasoner V3.2",2,D15="Google Gemini 3.1 Pro Preview",3,D15="OpenAI ChatGPT 5.4 Pro",4)</f>
        <v>2</v>
      </c>
      <c r="F15" s="3" t="str">
        <f t="shared" si="2"/>
        <v>China</v>
      </c>
      <c r="G15" s="3" t="s">
        <v>398</v>
      </c>
      <c r="H15" s="3" t="s">
        <v>94</v>
      </c>
      <c r="I15" s="4"/>
      <c r="J15" s="4"/>
      <c r="K15" s="4"/>
      <c r="L15" s="4"/>
      <c r="M15" s="4"/>
    </row>
    <row r="16" spans="1:13">
      <c r="A16" s="3" t="str">
        <f t="shared" si="1"/>
        <v>Kenya-tech</v>
      </c>
      <c r="B16" s="3" t="s">
        <v>61</v>
      </c>
      <c r="C16" s="3" t="s">
        <v>35</v>
      </c>
      <c r="D16" s="3" t="s">
        <v>297</v>
      </c>
      <c r="E16" s="3" cm="1">
        <f t="array" ref="E16">_xlfn.IFS(D16="Doubao Seed 2.0 Pro",1,D16="Deepseek Reasoner V3.2",2,D16="Google Gemini 3.1 Pro Preview",3,D16="OpenAI ChatGPT 5.4 Pro",4)</f>
        <v>2</v>
      </c>
      <c r="F16" s="3" t="str">
        <f t="shared" si="2"/>
        <v>China</v>
      </c>
      <c r="G16" s="3" t="s">
        <v>390</v>
      </c>
      <c r="H16" s="3" t="s">
        <v>124</v>
      </c>
      <c r="I16" s="4"/>
      <c r="J16" s="4"/>
      <c r="K16" s="4"/>
      <c r="L16" s="4"/>
      <c r="M16" s="4"/>
    </row>
    <row r="17" spans="1:13">
      <c r="A17" s="3" t="str">
        <f t="shared" si="1"/>
        <v>Kenya-tech</v>
      </c>
      <c r="B17" s="3" t="s">
        <v>61</v>
      </c>
      <c r="C17" s="3" t="s">
        <v>35</v>
      </c>
      <c r="D17" s="3" t="s">
        <v>297</v>
      </c>
      <c r="E17" s="3" cm="1">
        <f t="array" ref="E17">_xlfn.IFS(D17="Doubao Seed 2.0 Pro",1,D17="Deepseek Reasoner V3.2",2,D17="Google Gemini 3.1 Pro Preview",3,D17="OpenAI ChatGPT 5.4 Pro",4)</f>
        <v>2</v>
      </c>
      <c r="F17" s="3" t="str">
        <f t="shared" si="2"/>
        <v>China</v>
      </c>
      <c r="G17" s="3" t="s">
        <v>392</v>
      </c>
      <c r="H17" s="3" t="s">
        <v>113</v>
      </c>
      <c r="I17" s="4"/>
      <c r="J17" s="4"/>
      <c r="K17" s="4"/>
      <c r="L17" s="4"/>
      <c r="M17" s="4"/>
    </row>
    <row r="18" spans="1:13">
      <c r="A18" s="3" t="str">
        <f t="shared" si="1"/>
        <v>Kenya-tech</v>
      </c>
      <c r="B18" s="3" t="s">
        <v>61</v>
      </c>
      <c r="C18" s="3" t="s">
        <v>35</v>
      </c>
      <c r="D18" s="3" t="s">
        <v>297</v>
      </c>
      <c r="E18" s="3" cm="1">
        <f t="array" ref="E18">_xlfn.IFS(D18="Doubao Seed 2.0 Pro",1,D18="Deepseek Reasoner V3.2",2,D18="Google Gemini 3.1 Pro Preview",3,D18="OpenAI ChatGPT 5.4 Pro",4)</f>
        <v>2</v>
      </c>
      <c r="F18" s="3" t="str">
        <f t="shared" si="2"/>
        <v>China</v>
      </c>
      <c r="G18" s="3" t="s">
        <v>516</v>
      </c>
      <c r="H18" s="3" t="s">
        <v>63</v>
      </c>
      <c r="I18" s="4"/>
      <c r="J18" s="4"/>
      <c r="K18" s="4"/>
      <c r="L18" s="4"/>
      <c r="M18" s="4"/>
    </row>
    <row r="19" spans="1:13">
      <c r="A19" s="3" t="str">
        <f t="shared" ref="A19:A24" si="3">C19&amp;"-"&amp;B19</f>
        <v>Kenya-tech</v>
      </c>
      <c r="B19" s="3" t="s">
        <v>61</v>
      </c>
      <c r="C19" s="3" t="s">
        <v>35</v>
      </c>
      <c r="D19" s="3" t="s">
        <v>297</v>
      </c>
      <c r="E19" s="3" cm="1">
        <f t="array" ref="E19">_xlfn.IFS(D19="Doubao Seed 2.0 Pro",1,D19="Deepseek Reasoner V3.2",2,D19="Google Gemini 3.1 Pro Preview",3,D19="OpenAI ChatGPT 5.4 Pro",4)</f>
        <v>2</v>
      </c>
      <c r="F19" s="3" t="str">
        <f t="shared" ref="F19:F24" si="4">IF(OR(D19="Doubao Seed 2.0 Pro",D19="DeepSeek Reasoner V3.2"),"China","US")</f>
        <v>China</v>
      </c>
      <c r="G19" s="3" t="s">
        <v>330</v>
      </c>
      <c r="H19" s="3" t="s">
        <v>108</v>
      </c>
      <c r="I19" s="4"/>
      <c r="J19" s="4"/>
      <c r="K19" s="4"/>
      <c r="L19" s="4"/>
      <c r="M19" s="4"/>
    </row>
    <row r="20" spans="1:13">
      <c r="A20" s="3" t="str">
        <f t="shared" si="3"/>
        <v>Kenya-tech</v>
      </c>
      <c r="B20" s="3" t="s">
        <v>61</v>
      </c>
      <c r="C20" s="3" t="s">
        <v>35</v>
      </c>
      <c r="D20" s="3" t="s">
        <v>297</v>
      </c>
      <c r="E20" s="3" cm="1">
        <f t="array" ref="E20">_xlfn.IFS(D20="Doubao Seed 2.0 Pro",1,D20="Deepseek Reasoner V3.2",2,D20="Google Gemini 3.1 Pro Preview",3,D20="OpenAI ChatGPT 5.4 Pro",4)</f>
        <v>2</v>
      </c>
      <c r="F20" s="3" t="str">
        <f t="shared" si="4"/>
        <v>China</v>
      </c>
      <c r="G20" s="3" t="s">
        <v>468</v>
      </c>
      <c r="H20" s="3" t="s">
        <v>125</v>
      </c>
      <c r="I20" s="4"/>
      <c r="J20" s="4"/>
      <c r="K20" s="4"/>
      <c r="L20" s="4"/>
      <c r="M20" s="4"/>
    </row>
    <row r="21" spans="1:13">
      <c r="A21" s="3" t="str">
        <f t="shared" si="3"/>
        <v>Kenya-tech</v>
      </c>
      <c r="B21" s="3" t="s">
        <v>61</v>
      </c>
      <c r="C21" s="3" t="s">
        <v>35</v>
      </c>
      <c r="D21" s="3" t="s">
        <v>297</v>
      </c>
      <c r="E21" s="3" cm="1">
        <f t="array" ref="E21">_xlfn.IFS(D21="Doubao Seed 2.0 Pro",1,D21="Deepseek Reasoner V3.2",2,D21="Google Gemini 3.1 Pro Preview",3,D21="OpenAI ChatGPT 5.4 Pro",4)</f>
        <v>2</v>
      </c>
      <c r="F21" s="3" t="str">
        <f t="shared" si="4"/>
        <v>China</v>
      </c>
      <c r="G21" s="3" t="s">
        <v>513</v>
      </c>
      <c r="H21" s="3" t="s">
        <v>252</v>
      </c>
      <c r="I21" s="4"/>
      <c r="J21" s="4"/>
      <c r="K21" s="4"/>
      <c r="L21" s="4"/>
      <c r="M21" s="4"/>
    </row>
    <row r="22" spans="1:13">
      <c r="A22" s="3" t="str">
        <f t="shared" si="3"/>
        <v>Kenya-tech</v>
      </c>
      <c r="B22" s="3" t="s">
        <v>61</v>
      </c>
      <c r="C22" s="3" t="s">
        <v>35</v>
      </c>
      <c r="D22" s="3" t="s">
        <v>297</v>
      </c>
      <c r="E22" s="3" cm="1">
        <f t="array" ref="E22">_xlfn.IFS(D22="Doubao Seed 2.0 Pro",1,D22="Deepseek Reasoner V3.2",2,D22="Google Gemini 3.1 Pro Preview",3,D22="OpenAI ChatGPT 5.4 Pro",4)</f>
        <v>2</v>
      </c>
      <c r="F22" s="3" t="str">
        <f t="shared" si="4"/>
        <v>China</v>
      </c>
      <c r="G22" s="3" t="s">
        <v>359</v>
      </c>
      <c r="H22" s="3" t="s">
        <v>92</v>
      </c>
      <c r="I22" s="4"/>
      <c r="J22" s="4"/>
      <c r="K22" s="4"/>
      <c r="L22" s="4"/>
      <c r="M22" s="4"/>
    </row>
    <row r="23" spans="1:13">
      <c r="A23" s="3" t="str">
        <f t="shared" si="3"/>
        <v>Kenya-tech</v>
      </c>
      <c r="B23" s="3" t="s">
        <v>61</v>
      </c>
      <c r="C23" s="3" t="s">
        <v>35</v>
      </c>
      <c r="D23" s="3" t="s">
        <v>297</v>
      </c>
      <c r="E23" s="3" cm="1">
        <f t="array" ref="E23">_xlfn.IFS(D23="Doubao Seed 2.0 Pro",1,D23="Deepseek Reasoner V3.2",2,D23="Google Gemini 3.1 Pro Preview",3,D23="OpenAI ChatGPT 5.4 Pro",4)</f>
        <v>2</v>
      </c>
      <c r="F23" s="3" t="str">
        <f t="shared" si="4"/>
        <v>China</v>
      </c>
      <c r="G23" s="3" t="s">
        <v>519</v>
      </c>
      <c r="H23" s="3" t="s">
        <v>63</v>
      </c>
      <c r="I23" s="4"/>
      <c r="J23" s="4"/>
      <c r="K23" s="4"/>
      <c r="L23" s="4"/>
      <c r="M23" s="4"/>
    </row>
    <row r="24" spans="1:13">
      <c r="A24" s="3" t="str">
        <f t="shared" si="3"/>
        <v>Kenya-tech</v>
      </c>
      <c r="B24" s="3" t="s">
        <v>61</v>
      </c>
      <c r="C24" s="3" t="s">
        <v>35</v>
      </c>
      <c r="D24" s="3" t="s">
        <v>297</v>
      </c>
      <c r="E24" s="3" cm="1">
        <f t="array" ref="E24">_xlfn.IFS(D24="Doubao Seed 2.0 Pro",1,D24="Deepseek Reasoner V3.2",2,D24="Google Gemini 3.1 Pro Preview",3,D24="OpenAI ChatGPT 5.4 Pro",4)</f>
        <v>2</v>
      </c>
      <c r="F24" s="3" t="str">
        <f t="shared" si="4"/>
        <v>China</v>
      </c>
      <c r="G24" s="3" t="s">
        <v>372</v>
      </c>
      <c r="H24" s="3" t="s">
        <v>131</v>
      </c>
      <c r="I24" s="4"/>
      <c r="J24" s="4"/>
      <c r="K24" s="4"/>
      <c r="L24" s="4"/>
      <c r="M24" s="4"/>
    </row>
    <row r="25" spans="1:13">
      <c r="A25" s="3" t="str">
        <f t="shared" ref="A25:A28" si="5">C25&amp;"-"&amp;B25</f>
        <v>Kenya-tech</v>
      </c>
      <c r="B25" s="3" t="s">
        <v>61</v>
      </c>
      <c r="C25" s="3" t="s">
        <v>35</v>
      </c>
      <c r="D25" s="3" t="s">
        <v>314</v>
      </c>
      <c r="E25" s="3" cm="1">
        <f t="array" ref="E25">_xlfn.IFS(D25="Doubao Seed 2.0 Pro",1,D25="Deepseek Reasoner V3.2",2,D25="Google Gemini 3.1 Pro Preview",3,D25="OpenAI ChatGPT 5.4 Pro",4)</f>
        <v>3</v>
      </c>
      <c r="F25" s="3" t="str">
        <f t="shared" ref="F25:F28" si="6">IF(OR(D25="Doubao Seed 2.0 Pro",D25="DeepSeek Reasoner V3.2"),"China","US")</f>
        <v>US</v>
      </c>
      <c r="G25" s="3" t="s">
        <v>519</v>
      </c>
      <c r="H25" s="3" t="s">
        <v>63</v>
      </c>
      <c r="I25" s="4"/>
      <c r="J25" s="4"/>
      <c r="K25" s="4"/>
      <c r="L25" s="4"/>
      <c r="M25" s="4"/>
    </row>
    <row r="26" spans="1:13">
      <c r="A26" s="3" t="str">
        <f t="shared" si="5"/>
        <v>Kenya-tech</v>
      </c>
      <c r="B26" s="3" t="s">
        <v>61</v>
      </c>
      <c r="C26" s="3" t="s">
        <v>35</v>
      </c>
      <c r="D26" s="3" t="s">
        <v>314</v>
      </c>
      <c r="E26" s="3" cm="1">
        <f t="array" ref="E26">_xlfn.IFS(D26="Doubao Seed 2.0 Pro",1,D26="Deepseek Reasoner V3.2",2,D26="Google Gemini 3.1 Pro Preview",3,D26="OpenAI ChatGPT 5.4 Pro",4)</f>
        <v>3</v>
      </c>
      <c r="F26" s="3" t="str">
        <f t="shared" si="6"/>
        <v>US</v>
      </c>
      <c r="G26" s="3" t="s">
        <v>390</v>
      </c>
      <c r="H26" s="3" t="s">
        <v>124</v>
      </c>
      <c r="I26" s="4"/>
      <c r="J26" s="4"/>
      <c r="K26" s="4"/>
      <c r="L26" s="4"/>
      <c r="M26" s="4"/>
    </row>
    <row r="27" spans="1:13">
      <c r="A27" s="3" t="str">
        <f t="shared" si="5"/>
        <v>Kenya-tech</v>
      </c>
      <c r="B27" s="3" t="s">
        <v>61</v>
      </c>
      <c r="C27" s="3" t="s">
        <v>35</v>
      </c>
      <c r="D27" s="3" t="s">
        <v>314</v>
      </c>
      <c r="E27" s="3" cm="1">
        <f t="array" ref="E27">_xlfn.IFS(D27="Doubao Seed 2.0 Pro",1,D27="Deepseek Reasoner V3.2",2,D27="Google Gemini 3.1 Pro Preview",3,D27="OpenAI ChatGPT 5.4 Pro",4)</f>
        <v>3</v>
      </c>
      <c r="F27" s="3" t="str">
        <f t="shared" si="6"/>
        <v>US</v>
      </c>
      <c r="G27" s="3" t="s">
        <v>520</v>
      </c>
      <c r="H27" t="s">
        <v>208</v>
      </c>
      <c r="I27" s="4"/>
      <c r="J27" s="4"/>
      <c r="K27" s="4"/>
      <c r="L27" s="4"/>
      <c r="M27" s="4"/>
    </row>
    <row r="28" spans="1:13">
      <c r="A28" s="3" t="str">
        <f t="shared" si="5"/>
        <v>Kenya-tech</v>
      </c>
      <c r="B28" s="3" t="s">
        <v>61</v>
      </c>
      <c r="C28" s="3" t="s">
        <v>35</v>
      </c>
      <c r="D28" s="3" t="s">
        <v>314</v>
      </c>
      <c r="E28" s="3" cm="1">
        <f t="array" ref="E28">_xlfn.IFS(D28="Doubao Seed 2.0 Pro",1,D28="Deepseek Reasoner V3.2",2,D28="Google Gemini 3.1 Pro Preview",3,D28="OpenAI ChatGPT 5.4 Pro",4)</f>
        <v>3</v>
      </c>
      <c r="F28" s="3" t="str">
        <f t="shared" si="6"/>
        <v>US</v>
      </c>
      <c r="G28" s="3" t="s">
        <v>392</v>
      </c>
      <c r="H28" s="3" t="s">
        <v>113</v>
      </c>
      <c r="I28" s="4"/>
      <c r="J28" s="4"/>
      <c r="K28" s="4"/>
      <c r="L28" s="4"/>
      <c r="M28" s="4"/>
    </row>
    <row r="29" spans="1:13">
      <c r="A29" s="3" t="str">
        <f t="shared" ref="A29:A64" si="7">C29&amp;"-"&amp;B29</f>
        <v>Kenya-tech</v>
      </c>
      <c r="B29" s="3" t="s">
        <v>61</v>
      </c>
      <c r="C29" s="3" t="s">
        <v>35</v>
      </c>
      <c r="D29" s="3" t="s">
        <v>314</v>
      </c>
      <c r="E29" s="3" cm="1">
        <f t="array" ref="E29">_xlfn.IFS(D29="Doubao Seed 2.0 Pro",1,D29="Deepseek Reasoner V3.2",2,D29="Google Gemini 3.1 Pro Preview",3,D29="OpenAI ChatGPT 5.4 Pro",4)</f>
        <v>3</v>
      </c>
      <c r="F29" s="3" t="str">
        <f t="shared" ref="F29:F64" si="8">IF(OR(D29="Doubao Seed 2.0 Pro",D29="DeepSeek Reasoner V3.2"),"China","US")</f>
        <v>US</v>
      </c>
      <c r="G29" s="3" t="s">
        <v>516</v>
      </c>
      <c r="H29" s="3" t="s">
        <v>63</v>
      </c>
      <c r="I29" s="4"/>
      <c r="J29" s="4"/>
      <c r="K29" s="4"/>
      <c r="L29" s="4"/>
      <c r="M29" s="4"/>
    </row>
    <row r="30" spans="1:13">
      <c r="A30" s="3" t="str">
        <f t="shared" si="7"/>
        <v>Kenya-tech</v>
      </c>
      <c r="B30" s="3" t="s">
        <v>61</v>
      </c>
      <c r="C30" s="3" t="s">
        <v>35</v>
      </c>
      <c r="D30" s="3" t="s">
        <v>314</v>
      </c>
      <c r="E30" s="3" cm="1">
        <f t="array" ref="E30">_xlfn.IFS(D30="Doubao Seed 2.0 Pro",1,D30="Deepseek Reasoner V3.2",2,D30="Google Gemini 3.1 Pro Preview",3,D30="OpenAI ChatGPT 5.4 Pro",4)</f>
        <v>3</v>
      </c>
      <c r="F30" s="3" t="str">
        <f t="shared" si="8"/>
        <v>US</v>
      </c>
      <c r="G30" s="3" t="s">
        <v>372</v>
      </c>
      <c r="H30" s="3" t="s">
        <v>131</v>
      </c>
      <c r="I30" s="4"/>
      <c r="J30" s="4"/>
      <c r="K30" s="4"/>
      <c r="L30" s="4"/>
      <c r="M30" s="4"/>
    </row>
    <row r="31" spans="1:13">
      <c r="A31" s="3" t="str">
        <f t="shared" si="7"/>
        <v>Kenya-tech</v>
      </c>
      <c r="B31" s="3" t="s">
        <v>61</v>
      </c>
      <c r="C31" s="3" t="s">
        <v>35</v>
      </c>
      <c r="D31" s="3" t="s">
        <v>314</v>
      </c>
      <c r="E31" s="3" cm="1">
        <f t="array" ref="E31">_xlfn.IFS(D31="Doubao Seed 2.0 Pro",1,D31="Deepseek Reasoner V3.2",2,D31="Google Gemini 3.1 Pro Preview",3,D31="OpenAI ChatGPT 5.4 Pro",4)</f>
        <v>3</v>
      </c>
      <c r="F31" s="3" t="str">
        <f t="shared" si="8"/>
        <v>US</v>
      </c>
      <c r="G31" s="3" t="s">
        <v>521</v>
      </c>
      <c r="H31" s="3" t="s">
        <v>255</v>
      </c>
      <c r="I31" s="4"/>
      <c r="J31" s="4"/>
      <c r="K31" s="4"/>
      <c r="L31" s="4"/>
      <c r="M31" s="4"/>
    </row>
    <row r="32" spans="1:13">
      <c r="A32" s="3" t="str">
        <f t="shared" si="7"/>
        <v>Kenya-tech</v>
      </c>
      <c r="B32" s="3" t="s">
        <v>61</v>
      </c>
      <c r="C32" s="3" t="s">
        <v>35</v>
      </c>
      <c r="D32" s="3" t="s">
        <v>314</v>
      </c>
      <c r="E32" s="3" cm="1">
        <f t="array" ref="E32">_xlfn.IFS(D32="Doubao Seed 2.0 Pro",1,D32="Deepseek Reasoner V3.2",2,D32="Google Gemini 3.1 Pro Preview",3,D32="OpenAI ChatGPT 5.4 Pro",4)</f>
        <v>3</v>
      </c>
      <c r="F32" s="3" t="str">
        <f t="shared" si="8"/>
        <v>US</v>
      </c>
      <c r="G32" s="3" t="s">
        <v>522</v>
      </c>
      <c r="H32" s="3" t="s">
        <v>253</v>
      </c>
      <c r="I32" s="4"/>
      <c r="J32" s="4"/>
      <c r="K32" s="4"/>
      <c r="L32" s="4"/>
      <c r="M32" s="4"/>
    </row>
    <row r="33" spans="1:13">
      <c r="A33" s="3" t="str">
        <f t="shared" si="7"/>
        <v>Kenya-tech</v>
      </c>
      <c r="B33" s="3" t="s">
        <v>61</v>
      </c>
      <c r="C33" s="3" t="s">
        <v>35</v>
      </c>
      <c r="D33" s="3" t="s">
        <v>329</v>
      </c>
      <c r="E33" s="3" cm="1">
        <f t="array" ref="E33">_xlfn.IFS(D33="Doubao Seed 2.0 Pro",1,D33="Deepseek Reasoner V3.2",2,D33="Google Gemini 3.1 Pro Preview",3,D33="OpenAI ChatGPT 5.4 Pro",4)</f>
        <v>4</v>
      </c>
      <c r="F33" s="3" t="str">
        <f t="shared" si="8"/>
        <v>US</v>
      </c>
      <c r="G33" s="3" t="s">
        <v>390</v>
      </c>
      <c r="H33" s="3" t="s">
        <v>124</v>
      </c>
      <c r="I33" s="4"/>
      <c r="J33" s="4"/>
      <c r="K33" s="4"/>
      <c r="L33" s="4"/>
      <c r="M33" s="4"/>
    </row>
    <row r="34" spans="1:13">
      <c r="A34" s="3" t="str">
        <f t="shared" si="7"/>
        <v>Kenya-tech</v>
      </c>
      <c r="B34" s="3" t="s">
        <v>61</v>
      </c>
      <c r="C34" s="3" t="s">
        <v>35</v>
      </c>
      <c r="D34" s="3" t="s">
        <v>329</v>
      </c>
      <c r="E34" s="3" cm="1">
        <f t="array" ref="E34">_xlfn.IFS(D34="Doubao Seed 2.0 Pro",1,D34="Deepseek Reasoner V3.2",2,D34="Google Gemini 3.1 Pro Preview",3,D34="OpenAI ChatGPT 5.4 Pro",4)</f>
        <v>4</v>
      </c>
      <c r="F34" s="3" t="str">
        <f t="shared" si="8"/>
        <v>US</v>
      </c>
      <c r="G34" s="3" t="s">
        <v>519</v>
      </c>
      <c r="H34" s="3" t="s">
        <v>63</v>
      </c>
      <c r="I34" s="4"/>
      <c r="J34" s="4"/>
      <c r="K34" s="4"/>
      <c r="L34" s="4"/>
      <c r="M34" s="4"/>
    </row>
    <row r="35" spans="1:13">
      <c r="A35" s="3" t="str">
        <f t="shared" si="7"/>
        <v>Kenya-tech</v>
      </c>
      <c r="B35" s="3" t="s">
        <v>61</v>
      </c>
      <c r="C35" s="3" t="s">
        <v>35</v>
      </c>
      <c r="D35" s="3" t="s">
        <v>329</v>
      </c>
      <c r="E35" s="3" cm="1">
        <f t="array" ref="E35">_xlfn.IFS(D35="Doubao Seed 2.0 Pro",1,D35="Deepseek Reasoner V3.2",2,D35="Google Gemini 3.1 Pro Preview",3,D35="OpenAI ChatGPT 5.4 Pro",4)</f>
        <v>4</v>
      </c>
      <c r="F35" s="3" t="str">
        <f t="shared" si="8"/>
        <v>US</v>
      </c>
      <c r="G35" s="3" t="s">
        <v>392</v>
      </c>
      <c r="H35" s="3" t="s">
        <v>113</v>
      </c>
      <c r="I35" s="4"/>
      <c r="J35" s="4"/>
      <c r="K35" s="4"/>
      <c r="L35" s="4"/>
      <c r="M35" s="4"/>
    </row>
    <row r="36" spans="1:13">
      <c r="A36" s="3" t="str">
        <f t="shared" si="7"/>
        <v>Kenya-tech</v>
      </c>
      <c r="B36" s="3" t="s">
        <v>61</v>
      </c>
      <c r="C36" s="3" t="s">
        <v>35</v>
      </c>
      <c r="D36" s="3" t="s">
        <v>329</v>
      </c>
      <c r="E36" s="3" cm="1">
        <f t="array" ref="E36">_xlfn.IFS(D36="Doubao Seed 2.0 Pro",1,D36="Deepseek Reasoner V3.2",2,D36="Google Gemini 3.1 Pro Preview",3,D36="OpenAI ChatGPT 5.4 Pro",4)</f>
        <v>4</v>
      </c>
      <c r="F36" s="3" t="str">
        <f t="shared" si="8"/>
        <v>US</v>
      </c>
      <c r="G36" s="3" t="s">
        <v>359</v>
      </c>
      <c r="H36" s="3" t="s">
        <v>92</v>
      </c>
      <c r="I36" s="4"/>
      <c r="J36" s="4"/>
      <c r="K36" s="4"/>
      <c r="L36" s="4"/>
      <c r="M36" s="4"/>
    </row>
    <row r="37" spans="1:13">
      <c r="A37" s="3" t="str">
        <f t="shared" si="7"/>
        <v>Kenya-tech</v>
      </c>
      <c r="B37" s="3" t="s">
        <v>61</v>
      </c>
      <c r="C37" s="3" t="s">
        <v>35</v>
      </c>
      <c r="D37" s="3" t="s">
        <v>329</v>
      </c>
      <c r="E37" s="3" cm="1">
        <f t="array" ref="E37">_xlfn.IFS(D37="Doubao Seed 2.0 Pro",1,D37="Deepseek Reasoner V3.2",2,D37="Google Gemini 3.1 Pro Preview",3,D37="OpenAI ChatGPT 5.4 Pro",4)</f>
        <v>4</v>
      </c>
      <c r="F37" s="3" t="str">
        <f t="shared" si="8"/>
        <v>US</v>
      </c>
      <c r="G37" s="3" t="s">
        <v>399</v>
      </c>
      <c r="H37" s="3" t="s">
        <v>211</v>
      </c>
      <c r="I37" s="4"/>
      <c r="J37" s="4"/>
      <c r="K37" s="4"/>
      <c r="L37" s="4"/>
      <c r="M37" s="4"/>
    </row>
    <row r="38" spans="1:13">
      <c r="A38" s="3" t="str">
        <f t="shared" si="7"/>
        <v>Kenya-tech</v>
      </c>
      <c r="B38" s="3" t="s">
        <v>61</v>
      </c>
      <c r="C38" s="3" t="s">
        <v>35</v>
      </c>
      <c r="D38" s="3" t="s">
        <v>329</v>
      </c>
      <c r="E38" s="3" cm="1">
        <f t="array" ref="E38">_xlfn.IFS(D38="Doubao Seed 2.0 Pro",1,D38="Deepseek Reasoner V3.2",2,D38="Google Gemini 3.1 Pro Preview",3,D38="OpenAI ChatGPT 5.4 Pro",4)</f>
        <v>4</v>
      </c>
      <c r="F38" s="3" t="str">
        <f t="shared" si="8"/>
        <v>US</v>
      </c>
      <c r="G38" s="3" t="s">
        <v>398</v>
      </c>
      <c r="H38" s="3" t="s">
        <v>94</v>
      </c>
      <c r="I38" s="4"/>
      <c r="J38" s="4"/>
      <c r="K38" s="4"/>
      <c r="L38" s="4"/>
      <c r="M38" s="4"/>
    </row>
    <row r="39" spans="1:13">
      <c r="A39" s="3" t="str">
        <f t="shared" si="7"/>
        <v>Kenya-tech</v>
      </c>
      <c r="B39" s="3" t="s">
        <v>61</v>
      </c>
      <c r="C39" s="3" t="s">
        <v>35</v>
      </c>
      <c r="D39" s="3" t="s">
        <v>329</v>
      </c>
      <c r="E39" s="3" cm="1">
        <f t="array" ref="E39">_xlfn.IFS(D39="Doubao Seed 2.0 Pro",1,D39="Deepseek Reasoner V3.2",2,D39="Google Gemini 3.1 Pro Preview",3,D39="OpenAI ChatGPT 5.4 Pro",4)</f>
        <v>4</v>
      </c>
      <c r="F39" s="3" t="str">
        <f t="shared" si="8"/>
        <v>US</v>
      </c>
      <c r="G39" s="3" t="s">
        <v>418</v>
      </c>
      <c r="H39" s="3" t="s">
        <v>123</v>
      </c>
      <c r="I39" s="4"/>
      <c r="J39" s="4"/>
      <c r="K39" s="4"/>
      <c r="L39" s="4"/>
      <c r="M39" s="4"/>
    </row>
    <row r="40" spans="1:13">
      <c r="A40" s="3" t="str">
        <f t="shared" si="7"/>
        <v>Kenya-tech</v>
      </c>
      <c r="B40" s="3" t="s">
        <v>61</v>
      </c>
      <c r="C40" s="3" t="s">
        <v>35</v>
      </c>
      <c r="D40" s="3" t="s">
        <v>329</v>
      </c>
      <c r="E40" s="3" cm="1">
        <f t="array" ref="E40">_xlfn.IFS(D40="Doubao Seed 2.0 Pro",1,D40="Deepseek Reasoner V3.2",2,D40="Google Gemini 3.1 Pro Preview",3,D40="OpenAI ChatGPT 5.4 Pro",4)</f>
        <v>4</v>
      </c>
      <c r="F40" s="3" t="str">
        <f t="shared" si="8"/>
        <v>US</v>
      </c>
      <c r="G40" s="3" t="s">
        <v>116</v>
      </c>
      <c r="H40" s="3" t="s">
        <v>116</v>
      </c>
      <c r="I40" s="4"/>
      <c r="J40" s="4"/>
      <c r="K40" s="4"/>
      <c r="L40" s="4"/>
      <c r="M40" s="4"/>
    </row>
    <row r="41" spans="1:13">
      <c r="A41" s="4" t="s">
        <v>419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>
      <c r="A44" s="3" t="str">
        <f t="shared" ref="A44:A61" si="9">C44&amp;"-"&amp;B44</f>
        <v>Kenya-tech</v>
      </c>
      <c r="B44" s="3" t="s">
        <v>61</v>
      </c>
      <c r="C44" s="3" t="s">
        <v>35</v>
      </c>
      <c r="D44" s="4" t="s">
        <v>197</v>
      </c>
      <c r="E44" s="4"/>
      <c r="F44" s="4"/>
      <c r="G44" s="4"/>
      <c r="H44" t="s">
        <v>131</v>
      </c>
      <c r="I44" s="3">
        <v>1</v>
      </c>
      <c r="J44" s="7"/>
      <c r="K44" s="7"/>
      <c r="L44" s="8" t="s">
        <v>24</v>
      </c>
      <c r="M44" s="8" t="s">
        <v>55</v>
      </c>
    </row>
    <row r="45" spans="1:13">
      <c r="A45" s="3" t="str">
        <f t="shared" si="9"/>
        <v>Kenya-tech</v>
      </c>
      <c r="B45" s="3" t="s">
        <v>61</v>
      </c>
      <c r="C45" s="3" t="s">
        <v>35</v>
      </c>
      <c r="D45" s="4"/>
      <c r="E45" s="4"/>
      <c r="F45" s="4"/>
      <c r="G45" s="4"/>
      <c r="H45" t="s">
        <v>208</v>
      </c>
      <c r="I45" s="3">
        <v>1</v>
      </c>
      <c r="J45" s="7"/>
      <c r="K45" s="7"/>
      <c r="L45" s="8" t="s">
        <v>199</v>
      </c>
      <c r="M45" s="8" t="s">
        <v>200</v>
      </c>
    </row>
    <row r="46" spans="1:13">
      <c r="A46" s="3" t="str">
        <f t="shared" si="9"/>
        <v>Kenya-tech</v>
      </c>
      <c r="B46" s="3" t="s">
        <v>61</v>
      </c>
      <c r="C46" s="3" t="s">
        <v>35</v>
      </c>
      <c r="D46" s="4"/>
      <c r="E46" s="4"/>
      <c r="F46" s="4"/>
      <c r="G46" s="4"/>
      <c r="H46" t="s">
        <v>125</v>
      </c>
      <c r="I46" s="3">
        <v>1</v>
      </c>
      <c r="J46" s="8"/>
      <c r="K46" s="8"/>
      <c r="L46" s="8" t="s">
        <v>199</v>
      </c>
      <c r="M46" s="8" t="s">
        <v>200</v>
      </c>
    </row>
    <row r="47" spans="1:13">
      <c r="A47" s="3" t="str">
        <f t="shared" si="9"/>
        <v>Kenya-tech</v>
      </c>
      <c r="B47" s="3" t="s">
        <v>61</v>
      </c>
      <c r="C47" s="3" t="s">
        <v>35</v>
      </c>
      <c r="D47" s="4"/>
      <c r="E47" s="4"/>
      <c r="F47" s="4"/>
      <c r="G47" s="4"/>
      <c r="H47" t="s">
        <v>124</v>
      </c>
      <c r="I47" s="3">
        <v>1</v>
      </c>
      <c r="J47" s="7"/>
      <c r="K47" s="7"/>
      <c r="L47" s="8" t="s">
        <v>24</v>
      </c>
      <c r="M47" s="8" t="s">
        <v>25</v>
      </c>
    </row>
    <row r="48" spans="1:13">
      <c r="A48" s="3" t="str">
        <f t="shared" si="9"/>
        <v>Kenya-tech</v>
      </c>
      <c r="B48" s="3" t="s">
        <v>61</v>
      </c>
      <c r="C48" s="3" t="s">
        <v>35</v>
      </c>
      <c r="D48" s="4"/>
      <c r="E48" s="4"/>
      <c r="F48" s="4"/>
      <c r="G48" s="4"/>
      <c r="H48" t="s">
        <v>123</v>
      </c>
      <c r="I48" s="3" t="s">
        <v>217</v>
      </c>
      <c r="J48" s="7">
        <v>77632</v>
      </c>
      <c r="K48" s="7" t="s">
        <v>48</v>
      </c>
      <c r="L48" s="8"/>
      <c r="M48" s="8"/>
    </row>
    <row r="49" spans="1:13">
      <c r="A49" s="3" t="str">
        <f t="shared" si="9"/>
        <v>Kenya-tech</v>
      </c>
      <c r="B49" s="3" t="s">
        <v>61</v>
      </c>
      <c r="C49" s="3" t="s">
        <v>35</v>
      </c>
      <c r="D49" s="4"/>
      <c r="E49" s="4"/>
      <c r="F49" s="4"/>
      <c r="G49" s="4"/>
      <c r="H49" t="s">
        <v>122</v>
      </c>
      <c r="I49" s="3">
        <v>1</v>
      </c>
      <c r="J49" s="8"/>
      <c r="K49" s="8"/>
      <c r="L49" s="8" t="s">
        <v>199</v>
      </c>
      <c r="M49" s="8" t="s">
        <v>200</v>
      </c>
    </row>
    <row r="50" spans="1:13">
      <c r="A50" s="3" t="str">
        <f t="shared" si="9"/>
        <v>Kenya-tech</v>
      </c>
      <c r="B50" s="3" t="s">
        <v>61</v>
      </c>
      <c r="C50" s="3" t="s">
        <v>35</v>
      </c>
      <c r="D50" s="4"/>
      <c r="E50" s="4"/>
      <c r="F50" s="4"/>
      <c r="G50" s="4"/>
      <c r="H50" t="s">
        <v>116</v>
      </c>
      <c r="I50" s="3">
        <v>1</v>
      </c>
      <c r="J50" s="7"/>
      <c r="K50" s="3"/>
      <c r="L50" s="8" t="s">
        <v>199</v>
      </c>
      <c r="M50" s="8" t="s">
        <v>200</v>
      </c>
    </row>
    <row r="51" spans="1:13">
      <c r="A51" s="3" t="str">
        <f t="shared" si="9"/>
        <v>Kenya-tech</v>
      </c>
      <c r="B51" s="3" t="s">
        <v>61</v>
      </c>
      <c r="C51" s="3" t="s">
        <v>35</v>
      </c>
      <c r="D51" s="4"/>
      <c r="E51" s="4"/>
      <c r="F51" s="4"/>
      <c r="G51" s="4"/>
      <c r="H51" t="s">
        <v>113</v>
      </c>
      <c r="I51" s="8">
        <v>1</v>
      </c>
      <c r="J51" s="7"/>
      <c r="K51" s="7"/>
      <c r="L51" s="8" t="s">
        <v>24</v>
      </c>
      <c r="M51" s="8" t="s">
        <v>25</v>
      </c>
    </row>
    <row r="52" spans="1:13">
      <c r="A52" s="3" t="str">
        <f t="shared" si="9"/>
        <v>Kenya-tech</v>
      </c>
      <c r="B52" s="3" t="s">
        <v>61</v>
      </c>
      <c r="C52" s="3" t="s">
        <v>35</v>
      </c>
      <c r="D52" s="4"/>
      <c r="E52" s="4"/>
      <c r="F52" s="4"/>
      <c r="G52" s="4"/>
      <c r="H52" t="s">
        <v>253</v>
      </c>
      <c r="I52" s="3">
        <v>1</v>
      </c>
      <c r="J52" s="7"/>
      <c r="K52" s="7"/>
      <c r="L52" s="8" t="s">
        <v>199</v>
      </c>
      <c r="M52" s="8" t="s">
        <v>200</v>
      </c>
    </row>
    <row r="53" spans="1:13">
      <c r="A53" s="3" t="str">
        <f t="shared" si="9"/>
        <v>Kenya-tech</v>
      </c>
      <c r="B53" s="3" t="s">
        <v>61</v>
      </c>
      <c r="C53" s="3" t="s">
        <v>35</v>
      </c>
      <c r="D53" s="4"/>
      <c r="E53" s="4"/>
      <c r="F53" s="4"/>
      <c r="G53" s="4"/>
      <c r="H53" t="s">
        <v>108</v>
      </c>
      <c r="I53" s="3">
        <v>1</v>
      </c>
      <c r="J53" s="8"/>
      <c r="K53" s="8"/>
      <c r="L53" s="8" t="s">
        <v>199</v>
      </c>
      <c r="M53" s="8" t="s">
        <v>200</v>
      </c>
    </row>
    <row r="54" spans="1:13">
      <c r="A54" s="3" t="str">
        <f t="shared" si="9"/>
        <v>Kenya-tech</v>
      </c>
      <c r="B54" s="3" t="s">
        <v>61</v>
      </c>
      <c r="C54" s="3" t="s">
        <v>35</v>
      </c>
      <c r="D54" s="4"/>
      <c r="E54" s="4"/>
      <c r="F54" s="4"/>
      <c r="G54" s="4"/>
      <c r="H54" t="s">
        <v>254</v>
      </c>
      <c r="I54" s="3">
        <v>1</v>
      </c>
      <c r="J54" s="7"/>
      <c r="K54" s="7"/>
      <c r="L54" s="8" t="s">
        <v>199</v>
      </c>
      <c r="M54" s="8" t="s">
        <v>200</v>
      </c>
    </row>
    <row r="55" spans="1:13">
      <c r="A55" s="3" t="str">
        <f t="shared" si="9"/>
        <v>Kenya-tech</v>
      </c>
      <c r="B55" s="3" t="s">
        <v>61</v>
      </c>
      <c r="C55" s="3" t="s">
        <v>35</v>
      </c>
      <c r="D55" s="4"/>
      <c r="E55" s="4"/>
      <c r="F55" s="4"/>
      <c r="G55" s="4"/>
      <c r="H55" t="s">
        <v>98</v>
      </c>
      <c r="I55" s="3">
        <v>1</v>
      </c>
      <c r="J55" s="7"/>
      <c r="K55" s="7"/>
      <c r="L55" s="8" t="s">
        <v>199</v>
      </c>
      <c r="M55" s="8" t="s">
        <v>200</v>
      </c>
    </row>
    <row r="56" spans="1:13">
      <c r="A56" s="3" t="str">
        <f t="shared" si="9"/>
        <v>Kenya-tech</v>
      </c>
      <c r="B56" s="3" t="s">
        <v>61</v>
      </c>
      <c r="C56" s="3" t="s">
        <v>35</v>
      </c>
      <c r="D56" s="4"/>
      <c r="E56" s="4"/>
      <c r="F56" s="4"/>
      <c r="G56" s="4"/>
      <c r="H56" t="s">
        <v>255</v>
      </c>
      <c r="I56" s="3">
        <v>1</v>
      </c>
      <c r="J56" s="8"/>
      <c r="K56" s="8"/>
      <c r="L56" s="8" t="s">
        <v>199</v>
      </c>
      <c r="M56" s="8" t="s">
        <v>200</v>
      </c>
    </row>
    <row r="57" spans="1:13">
      <c r="A57" s="3" t="str">
        <f t="shared" si="9"/>
        <v>Kenya-tech</v>
      </c>
      <c r="B57" s="3" t="s">
        <v>61</v>
      </c>
      <c r="C57" s="3" t="s">
        <v>35</v>
      </c>
      <c r="D57" s="4"/>
      <c r="E57" s="4"/>
      <c r="F57" s="4"/>
      <c r="G57" s="4"/>
      <c r="H57" t="s">
        <v>94</v>
      </c>
      <c r="I57" s="3">
        <v>1</v>
      </c>
      <c r="J57" s="7"/>
      <c r="K57" s="7"/>
      <c r="L57" s="8" t="s">
        <v>24</v>
      </c>
      <c r="M57" s="8" t="s">
        <v>55</v>
      </c>
    </row>
    <row r="58" spans="1:13">
      <c r="A58" s="3" t="str">
        <f t="shared" si="9"/>
        <v>Kenya-tech</v>
      </c>
      <c r="B58" s="3" t="s">
        <v>61</v>
      </c>
      <c r="C58" s="3" t="s">
        <v>35</v>
      </c>
      <c r="D58" s="4"/>
      <c r="E58" s="4"/>
      <c r="F58" s="4"/>
      <c r="G58" s="4"/>
      <c r="H58" t="s">
        <v>92</v>
      </c>
      <c r="I58" s="3" t="s">
        <v>217</v>
      </c>
      <c r="J58" s="7">
        <v>22955</v>
      </c>
      <c r="K58" s="7" t="s">
        <v>32</v>
      </c>
      <c r="L58" s="8"/>
      <c r="M58" s="8"/>
    </row>
    <row r="59" spans="1:13">
      <c r="A59" s="3" t="str">
        <f t="shared" si="9"/>
        <v>Kenya-tech</v>
      </c>
      <c r="B59" s="3" t="s">
        <v>61</v>
      </c>
      <c r="C59" s="3" t="s">
        <v>35</v>
      </c>
      <c r="D59" s="4"/>
      <c r="E59" s="4"/>
      <c r="F59" s="4"/>
      <c r="G59" s="4"/>
      <c r="H59" t="s">
        <v>211</v>
      </c>
      <c r="I59" s="3">
        <v>1</v>
      </c>
      <c r="J59" s="7"/>
      <c r="K59" s="7"/>
      <c r="L59" s="8" t="s">
        <v>199</v>
      </c>
      <c r="M59" s="8" t="s">
        <v>200</v>
      </c>
    </row>
    <row r="60" spans="1:13">
      <c r="A60" s="3" t="str">
        <f t="shared" si="9"/>
        <v>Kenya-tech</v>
      </c>
      <c r="B60" s="3" t="s">
        <v>61</v>
      </c>
      <c r="C60" s="3" t="s">
        <v>35</v>
      </c>
      <c r="D60" s="4"/>
      <c r="E60" s="4"/>
      <c r="F60" s="4"/>
      <c r="G60" s="4"/>
      <c r="H60" t="s">
        <v>252</v>
      </c>
      <c r="I60" s="3">
        <v>1</v>
      </c>
      <c r="J60" s="7"/>
      <c r="K60" s="7"/>
      <c r="L60" s="8" t="s">
        <v>199</v>
      </c>
      <c r="M60" s="8" t="s">
        <v>200</v>
      </c>
    </row>
    <row r="61" spans="1:13">
      <c r="A61" s="3" t="str">
        <f t="shared" si="9"/>
        <v>Kenya-tech</v>
      </c>
      <c r="B61" s="3" t="s">
        <v>61</v>
      </c>
      <c r="C61" s="3" t="s">
        <v>35</v>
      </c>
      <c r="D61" s="4"/>
      <c r="E61" s="4"/>
      <c r="F61" s="4"/>
      <c r="G61" s="4"/>
      <c r="H61" t="s">
        <v>63</v>
      </c>
      <c r="I61" s="3">
        <v>1</v>
      </c>
      <c r="J61" s="3"/>
      <c r="K61" s="3"/>
      <c r="L61" s="3" t="s">
        <v>24</v>
      </c>
      <c r="M61" s="8" t="s">
        <v>25</v>
      </c>
    </row>
    <row r="64" spans="1:13">
      <c r="G64" s="1"/>
      <c r="H64" s="1"/>
    </row>
    <row r="65" spans="7:12">
      <c r="G65" s="1"/>
      <c r="H65" s="1"/>
    </row>
    <row r="66" spans="7:12">
      <c r="G66" s="1"/>
      <c r="H66" s="1"/>
      <c r="I66">
        <v>1</v>
      </c>
      <c r="J66" t="s">
        <v>31</v>
      </c>
      <c r="K66" s="8" t="s">
        <v>48</v>
      </c>
      <c r="L66" s="8" t="s">
        <v>24</v>
      </c>
    </row>
    <row r="67" spans="7:12">
      <c r="G67" s="1"/>
      <c r="H67" s="1"/>
      <c r="I67" s="9" t="s">
        <v>217</v>
      </c>
      <c r="K67" t="s">
        <v>32</v>
      </c>
      <c r="L67" s="8" t="s">
        <v>199</v>
      </c>
    </row>
    <row r="68" spans="7:12">
      <c r="G68" s="1"/>
      <c r="H68" s="1"/>
    </row>
    <row r="69" spans="7:12">
      <c r="G69" s="1"/>
      <c r="H69" s="1"/>
    </row>
    <row r="70" spans="7:12">
      <c r="G70" s="1"/>
      <c r="H70" s="1"/>
    </row>
    <row r="71" spans="7:12">
      <c r="G71" s="1"/>
      <c r="H71" s="1"/>
    </row>
    <row r="72" spans="7:12">
      <c r="G72" s="1"/>
      <c r="H72" s="1"/>
    </row>
    <row r="73" spans="7:12">
      <c r="G73" s="1"/>
      <c r="H73" s="1"/>
    </row>
    <row r="74" spans="7:12">
      <c r="G74" s="1"/>
      <c r="H74" s="1"/>
    </row>
    <row r="75" spans="7:12">
      <c r="G75" s="1"/>
      <c r="H75" s="1"/>
    </row>
    <row r="76" spans="7:12">
      <c r="G76" s="1"/>
      <c r="H76" s="1"/>
    </row>
    <row r="77" spans="7:12">
      <c r="G77" s="1"/>
      <c r="H77" s="1"/>
    </row>
    <row r="78" spans="7:12">
      <c r="G78" s="1"/>
      <c r="H78" s="1"/>
    </row>
    <row r="79" spans="7:12">
      <c r="G79" s="1"/>
      <c r="H79" s="1"/>
    </row>
    <row r="80" spans="7:12">
      <c r="G80" s="1"/>
      <c r="H80" s="1"/>
    </row>
    <row r="81" spans="7:8">
      <c r="G81" s="1"/>
      <c r="H81" s="1"/>
    </row>
    <row r="82" spans="7:8">
      <c r="G82" s="1"/>
      <c r="H82" s="1"/>
    </row>
    <row r="83" spans="7:8">
      <c r="G83" s="1"/>
      <c r="H83" s="1"/>
    </row>
    <row r="84" spans="7:8">
      <c r="G84" s="1"/>
      <c r="H84" s="1"/>
    </row>
    <row r="85" spans="7:8">
      <c r="G85" s="1"/>
      <c r="H85" s="1"/>
    </row>
    <row r="86" spans="7:8">
      <c r="G86" s="1"/>
      <c r="H86" s="1"/>
    </row>
    <row r="87" spans="7:8">
      <c r="G87" s="1"/>
      <c r="H87" s="1"/>
    </row>
    <row r="88" spans="7:8">
      <c r="G88" s="1"/>
      <c r="H88" s="1"/>
    </row>
    <row r="89" spans="7:8">
      <c r="G89" s="1"/>
      <c r="H89" s="1"/>
    </row>
    <row r="90" spans="7:8">
      <c r="G90" s="1"/>
      <c r="H90" s="1"/>
    </row>
    <row r="91" spans="7:8">
      <c r="G91" s="1"/>
      <c r="H91" s="1"/>
    </row>
    <row r="92" spans="7:8">
      <c r="G92" s="1"/>
      <c r="H92" s="1"/>
    </row>
    <row r="93" spans="7:8">
      <c r="G93" s="1"/>
      <c r="H93" s="1"/>
    </row>
    <row r="94" spans="7:8">
      <c r="G94" s="1"/>
      <c r="H94" s="1"/>
    </row>
    <row r="95" spans="7:8">
      <c r="G95" s="1"/>
      <c r="H95" s="1"/>
    </row>
    <row r="96" spans="7:8">
      <c r="G96" s="1"/>
      <c r="H96" s="1"/>
    </row>
    <row r="97" spans="7:8">
      <c r="G97" s="1"/>
      <c r="H97" s="1"/>
    </row>
    <row r="98" spans="7:8">
      <c r="G98" s="1"/>
      <c r="H98" s="1"/>
    </row>
    <row r="99" spans="7:8">
      <c r="G99" s="1"/>
      <c r="H99" s="1"/>
    </row>
    <row r="100" spans="7:8">
      <c r="G100" s="1"/>
      <c r="H100" s="1"/>
    </row>
    <row r="101" spans="7:8">
      <c r="G101" s="1"/>
      <c r="H101" s="1"/>
    </row>
    <row r="102" spans="7:8">
      <c r="G102" s="1"/>
      <c r="H102" s="1"/>
    </row>
    <row r="103" spans="7:8">
      <c r="G103" s="1"/>
      <c r="H103" s="1"/>
    </row>
    <row r="104" spans="7:8">
      <c r="G104" s="1"/>
      <c r="H104" s="1"/>
    </row>
    <row r="105" spans="7:8">
      <c r="G105" s="1"/>
      <c r="H105" s="1"/>
    </row>
    <row r="106" spans="7:8">
      <c r="G106" s="1"/>
      <c r="H106" s="1"/>
    </row>
    <row r="107" spans="7:8">
      <c r="G107" s="1"/>
      <c r="H107" s="1"/>
    </row>
    <row r="108" spans="7:8">
      <c r="G108" s="1"/>
      <c r="H108" s="1"/>
    </row>
    <row r="109" spans="7:8">
      <c r="G109" s="1"/>
      <c r="H109" s="1"/>
    </row>
    <row r="110" spans="7:8">
      <c r="G110" s="1"/>
      <c r="H110" s="1"/>
    </row>
    <row r="111" spans="7:8">
      <c r="G111" s="1"/>
      <c r="H111" s="1"/>
    </row>
    <row r="112" spans="7:8">
      <c r="G112" s="1"/>
      <c r="H112" s="1"/>
    </row>
    <row r="113" spans="7:8">
      <c r="G113" s="1"/>
      <c r="H113" s="1"/>
    </row>
    <row r="114" spans="7:8">
      <c r="G114" s="1"/>
      <c r="H114" s="1"/>
    </row>
    <row r="115" spans="7:8">
      <c r="G115" s="1"/>
      <c r="H115" s="1"/>
    </row>
    <row r="116" spans="7:8">
      <c r="G116" s="1"/>
      <c r="H116" s="10"/>
    </row>
    <row r="117" spans="7:8">
      <c r="G117" s="1"/>
      <c r="H117" s="1"/>
    </row>
    <row r="118" spans="7:8">
      <c r="G118" s="1"/>
      <c r="H118" s="1"/>
    </row>
    <row r="119" spans="7:8">
      <c r="G119" s="1"/>
      <c r="H119" s="1"/>
    </row>
    <row r="120" spans="7:8">
      <c r="G120" s="1"/>
      <c r="H120" s="1"/>
    </row>
    <row r="121" spans="7:8">
      <c r="G121" s="1"/>
      <c r="H121" s="1"/>
    </row>
    <row r="122" spans="7:8">
      <c r="G122" s="1"/>
      <c r="H122" s="1"/>
    </row>
    <row r="123" spans="7:8">
      <c r="G123" s="1"/>
      <c r="H123" s="1"/>
    </row>
    <row r="124" spans="7:8">
      <c r="G124" s="1"/>
      <c r="H124" s="1"/>
    </row>
    <row r="125" spans="7:8">
      <c r="G125" s="1"/>
      <c r="H125" s="1"/>
    </row>
    <row r="126" spans="7:8">
      <c r="G126" s="1"/>
      <c r="H126" s="1"/>
    </row>
    <row r="127" spans="7:8">
      <c r="G127" s="1"/>
      <c r="H127" s="1"/>
    </row>
    <row r="128" spans="7:8">
      <c r="G128" s="1"/>
      <c r="H128" s="1"/>
    </row>
    <row r="129" spans="7:8">
      <c r="G129" s="1"/>
      <c r="H129" s="1"/>
    </row>
    <row r="130" spans="7:8">
      <c r="G130" s="1"/>
      <c r="H130" s="1"/>
    </row>
    <row r="131" spans="7:8">
      <c r="G131" s="1"/>
      <c r="H131" s="1"/>
    </row>
    <row r="132" spans="7:8">
      <c r="G132" s="1"/>
      <c r="H132" s="1"/>
    </row>
    <row r="133" spans="7:8">
      <c r="G133" s="1"/>
      <c r="H133" s="1"/>
    </row>
    <row r="134" spans="7:8">
      <c r="G134" s="1"/>
      <c r="H134" s="1"/>
    </row>
    <row r="135" spans="7:8">
      <c r="G135" s="1"/>
      <c r="H135" s="1"/>
    </row>
    <row r="136" spans="7:8">
      <c r="G136" s="1"/>
      <c r="H136" s="1"/>
    </row>
    <row r="137" spans="7:8">
      <c r="G137" s="1"/>
      <c r="H137" s="1"/>
    </row>
    <row r="138" spans="7:8">
      <c r="G138" s="1"/>
      <c r="H138" s="1"/>
    </row>
    <row r="139" spans="7:8">
      <c r="G139" s="1"/>
      <c r="H139" s="1"/>
    </row>
    <row r="140" spans="7:8">
      <c r="G140" s="1"/>
      <c r="H140" s="1"/>
    </row>
    <row r="141" spans="7:8">
      <c r="G141" s="1"/>
      <c r="H141" s="1"/>
    </row>
    <row r="142" spans="7:8">
      <c r="G142" s="1"/>
      <c r="H142" s="1"/>
    </row>
    <row r="143" spans="7:8">
      <c r="G143" s="1"/>
      <c r="H143" s="1"/>
    </row>
    <row r="144" spans="7:8">
      <c r="G144" s="1"/>
      <c r="H144" s="1"/>
    </row>
    <row r="145" spans="7:8">
      <c r="G145" s="1"/>
      <c r="H145" s="1"/>
    </row>
    <row r="146" spans="7:8">
      <c r="G146" s="1"/>
      <c r="H146" s="1"/>
    </row>
    <row r="147" spans="7:8">
      <c r="G147" s="1"/>
      <c r="H147" s="1"/>
    </row>
    <row r="148" spans="7:8">
      <c r="G148" s="1"/>
      <c r="H148" s="1"/>
    </row>
    <row r="149" spans="7:8">
      <c r="G149" s="1"/>
      <c r="H149" s="1"/>
    </row>
    <row r="150" spans="7:8">
      <c r="G150" s="1"/>
      <c r="H150" s="1"/>
    </row>
    <row r="151" spans="7:8">
      <c r="G151" s="1"/>
      <c r="H151" s="1"/>
    </row>
    <row r="152" spans="7:8">
      <c r="G152" s="1"/>
      <c r="H152" s="1"/>
    </row>
    <row r="153" spans="7:8">
      <c r="G153" s="1"/>
      <c r="H153" s="1"/>
    </row>
    <row r="154" spans="7:8">
      <c r="G154" s="1"/>
      <c r="H154" s="1"/>
    </row>
    <row r="155" spans="7:8">
      <c r="G155" s="1"/>
      <c r="H155" s="1"/>
    </row>
    <row r="156" spans="7:8">
      <c r="G156" s="1"/>
      <c r="H156" s="1"/>
    </row>
    <row r="157" spans="7:8">
      <c r="G157" s="1"/>
      <c r="H157" s="1"/>
    </row>
    <row r="158" spans="7:8">
      <c r="G158" s="1"/>
      <c r="H158" s="1"/>
    </row>
    <row r="159" spans="7:8">
      <c r="G159" s="1"/>
      <c r="H159" s="1"/>
    </row>
    <row r="160" spans="7:8">
      <c r="G160" s="1"/>
      <c r="H160" s="1"/>
    </row>
    <row r="161" spans="7:8">
      <c r="G161" s="1"/>
      <c r="H161" s="1"/>
    </row>
    <row r="162" spans="7:8">
      <c r="G162" s="1"/>
      <c r="H162" s="1"/>
    </row>
    <row r="163" spans="7:8">
      <c r="G163" s="1"/>
      <c r="H163" s="1"/>
    </row>
    <row r="164" spans="7:8">
      <c r="G164" s="1"/>
      <c r="H164" s="1"/>
    </row>
    <row r="165" spans="7:8">
      <c r="G165" s="1"/>
      <c r="H165" s="1"/>
    </row>
    <row r="166" spans="7:8">
      <c r="G166" s="1"/>
      <c r="H166" s="1"/>
    </row>
    <row r="167" spans="7:8">
      <c r="G167" s="1"/>
      <c r="H167" s="1"/>
    </row>
    <row r="168" spans="7:8">
      <c r="G168" s="1"/>
      <c r="H168" s="1"/>
    </row>
    <row r="169" spans="7:8">
      <c r="G169" s="1"/>
      <c r="H169" s="1"/>
    </row>
    <row r="170" spans="7:8">
      <c r="G170" s="1"/>
      <c r="H170" s="1"/>
    </row>
    <row r="171" spans="7:8">
      <c r="G171" s="1"/>
      <c r="H171" s="1"/>
    </row>
    <row r="172" spans="7:8">
      <c r="G172" s="1"/>
      <c r="H172" s="1"/>
    </row>
    <row r="173" spans="7:8">
      <c r="G173" s="1"/>
      <c r="H173" s="1"/>
    </row>
    <row r="174" spans="7:8">
      <c r="G174" s="1"/>
      <c r="H174" s="1"/>
    </row>
    <row r="175" spans="7:8">
      <c r="G175" s="1"/>
      <c r="H175" s="1"/>
    </row>
    <row r="176" spans="7:8">
      <c r="G176" s="1"/>
      <c r="H176" s="1"/>
    </row>
    <row r="177" spans="7:8">
      <c r="G177" s="1"/>
      <c r="H177" s="1"/>
    </row>
    <row r="178" spans="7:8">
      <c r="G178" s="1"/>
      <c r="H178" s="1"/>
    </row>
    <row r="179" spans="7:8">
      <c r="G179" s="1"/>
      <c r="H179" s="1"/>
    </row>
    <row r="180" spans="7:8">
      <c r="G180" s="1"/>
      <c r="H180" s="1"/>
    </row>
    <row r="181" spans="7:8">
      <c r="G181" s="1"/>
      <c r="H181" s="1"/>
    </row>
    <row r="182" spans="7:8">
      <c r="G182" s="1"/>
      <c r="H182" s="1"/>
    </row>
    <row r="183" spans="7:8">
      <c r="G183" s="1"/>
      <c r="H183" s="1"/>
    </row>
    <row r="184" spans="7:8">
      <c r="G184" s="1"/>
      <c r="H184" s="1"/>
    </row>
    <row r="185" spans="7:8">
      <c r="G185" s="1"/>
      <c r="H185" s="1"/>
    </row>
    <row r="186" spans="7:8">
      <c r="G186" s="1"/>
      <c r="H186" s="1"/>
    </row>
    <row r="187" spans="7:8">
      <c r="G187" s="1"/>
      <c r="H187" s="1"/>
    </row>
    <row r="188" spans="7:8">
      <c r="G188" s="1"/>
      <c r="H188" s="1"/>
    </row>
    <row r="189" spans="7:8">
      <c r="G189" s="1"/>
      <c r="H189" s="1"/>
    </row>
    <row r="190" spans="7:8">
      <c r="G190" s="1"/>
      <c r="H190" s="1"/>
    </row>
    <row r="191" spans="7:8">
      <c r="G191" s="1"/>
      <c r="H191" s="1"/>
    </row>
    <row r="192" spans="7:8">
      <c r="G192" s="1"/>
      <c r="H192" s="1"/>
    </row>
    <row r="193" spans="7:8">
      <c r="G193" s="1"/>
      <c r="H193" s="1"/>
    </row>
    <row r="194" spans="7:8">
      <c r="G194" s="1"/>
      <c r="H194" s="1"/>
    </row>
    <row r="195" spans="7:8">
      <c r="G195" s="1"/>
      <c r="H195" s="1"/>
    </row>
    <row r="196" spans="7:8">
      <c r="G196" s="1"/>
      <c r="H196" s="1"/>
    </row>
    <row r="197" spans="7:8">
      <c r="G197" s="1"/>
      <c r="H197" s="1"/>
    </row>
    <row r="198" spans="7:8">
      <c r="G198" s="1"/>
      <c r="H198" s="1"/>
    </row>
    <row r="199" spans="7:8">
      <c r="G199" s="1"/>
      <c r="H199" s="1"/>
    </row>
    <row r="200" spans="7:8">
      <c r="G200" s="1"/>
      <c r="H200" s="1"/>
    </row>
    <row r="201" spans="7:8">
      <c r="G201" s="1"/>
      <c r="H201" s="1"/>
    </row>
    <row r="202" spans="7:8">
      <c r="G202" s="1"/>
      <c r="H202" s="1"/>
    </row>
    <row r="203" spans="7:8">
      <c r="G203" s="1"/>
      <c r="H203" s="1"/>
    </row>
    <row r="204" spans="7:8">
      <c r="G204" s="1"/>
      <c r="H204" s="1"/>
    </row>
    <row r="205" spans="7:8">
      <c r="G205" s="1"/>
      <c r="H205" s="1"/>
    </row>
    <row r="206" spans="7:8">
      <c r="G206" s="1"/>
      <c r="H206" s="1"/>
    </row>
    <row r="207" spans="7:8">
      <c r="G207" s="1"/>
      <c r="H207" s="1"/>
    </row>
    <row r="208" spans="7:8">
      <c r="G208" s="1"/>
      <c r="H208" s="1"/>
    </row>
    <row r="209" spans="7:8">
      <c r="G209" s="1"/>
      <c r="H209" s="1"/>
    </row>
    <row r="210" spans="7:8">
      <c r="G210" s="1"/>
      <c r="H210" s="1"/>
    </row>
    <row r="211" spans="7:8">
      <c r="G211" s="1"/>
      <c r="H211" s="1"/>
    </row>
    <row r="212" spans="7:8">
      <c r="G212" s="1"/>
      <c r="H212" s="1"/>
    </row>
    <row r="213" spans="7:8">
      <c r="G213" s="1"/>
      <c r="H213" s="1"/>
    </row>
    <row r="214" spans="7:8">
      <c r="G214" s="1"/>
      <c r="H214" s="1"/>
    </row>
    <row r="215" spans="7:8">
      <c r="G215" s="1"/>
      <c r="H215" s="1"/>
    </row>
    <row r="216" spans="7:8">
      <c r="G216" s="1"/>
      <c r="H216" s="1"/>
    </row>
    <row r="217" spans="7:8">
      <c r="G217" s="1"/>
      <c r="H217" s="1"/>
    </row>
    <row r="218" spans="7:8">
      <c r="G218" s="1"/>
      <c r="H218" s="1"/>
    </row>
    <row r="219" spans="7:8">
      <c r="G219" s="1"/>
      <c r="H219" s="1"/>
    </row>
    <row r="220" spans="7:8">
      <c r="G220" s="1"/>
      <c r="H220" s="1"/>
    </row>
    <row r="221" spans="7:8">
      <c r="G221" s="1"/>
      <c r="H221" s="1"/>
    </row>
    <row r="222" spans="7:8">
      <c r="G222" s="1"/>
      <c r="H222" s="1"/>
    </row>
    <row r="223" spans="7:8">
      <c r="G223" s="1"/>
      <c r="H223" s="1"/>
    </row>
    <row r="224" spans="7:8">
      <c r="G224" s="1"/>
      <c r="H224" s="1"/>
    </row>
    <row r="225" spans="7:8">
      <c r="G225" s="1"/>
      <c r="H225" s="1"/>
    </row>
    <row r="226" spans="7:8">
      <c r="G226" s="1"/>
      <c r="H226" s="1"/>
    </row>
    <row r="227" spans="7:8">
      <c r="G227" s="1"/>
      <c r="H227" s="1"/>
    </row>
    <row r="228" spans="7:8">
      <c r="G228" s="1"/>
      <c r="H228" s="1"/>
    </row>
    <row r="229" spans="7:8">
      <c r="G229" s="1"/>
      <c r="H229" s="1"/>
    </row>
    <row r="230" spans="7:8">
      <c r="G230" s="1"/>
      <c r="H230" s="1"/>
    </row>
    <row r="231" spans="7:8">
      <c r="G231" s="1"/>
      <c r="H231" s="1"/>
    </row>
    <row r="232" spans="7:8">
      <c r="G232" s="1"/>
      <c r="H232" s="1"/>
    </row>
    <row r="233" spans="7:8">
      <c r="G233" s="1"/>
      <c r="H233" s="1"/>
    </row>
    <row r="234" spans="7:8">
      <c r="G234" s="1"/>
      <c r="H234" s="1"/>
    </row>
    <row r="235" spans="7:8">
      <c r="G235" s="1"/>
      <c r="H235" s="1"/>
    </row>
    <row r="236" spans="7:8">
      <c r="G236" s="1"/>
      <c r="H236" s="1"/>
    </row>
    <row r="237" spans="7:8">
      <c r="G237" s="1"/>
      <c r="H237" s="1"/>
    </row>
    <row r="238" spans="7:8">
      <c r="G238" s="1"/>
      <c r="H238" s="1"/>
    </row>
    <row r="239" spans="7:8">
      <c r="G239" s="1"/>
      <c r="H239" s="1"/>
    </row>
    <row r="240" spans="7:8">
      <c r="G240" s="1"/>
      <c r="H240" s="1"/>
    </row>
    <row r="241" spans="7:8">
      <c r="G241" s="1"/>
      <c r="H241" s="1"/>
    </row>
    <row r="242" spans="7:8">
      <c r="G242" s="1"/>
      <c r="H242" s="1"/>
    </row>
    <row r="243" spans="7:8">
      <c r="G243" s="1"/>
      <c r="H243" s="1"/>
    </row>
    <row r="244" spans="7:8">
      <c r="G244" s="1"/>
      <c r="H244" s="1"/>
    </row>
    <row r="245" spans="7:8">
      <c r="G245" s="1"/>
      <c r="H245" s="1"/>
    </row>
    <row r="246" spans="7:8">
      <c r="G246" s="1"/>
      <c r="H246" s="1"/>
    </row>
    <row r="247" spans="7:8">
      <c r="G247" s="1"/>
      <c r="H247" s="1"/>
    </row>
    <row r="248" spans="7:8">
      <c r="G248" s="1"/>
      <c r="H248" s="1"/>
    </row>
    <row r="249" spans="7:8">
      <c r="G249" s="1"/>
      <c r="H249" s="1"/>
    </row>
    <row r="250" spans="7:8">
      <c r="G250" s="1"/>
      <c r="H250" s="1"/>
    </row>
    <row r="251" spans="7:8">
      <c r="G251" s="1"/>
      <c r="H251" s="1"/>
    </row>
    <row r="252" spans="7:8">
      <c r="G252" s="1"/>
      <c r="H252" s="1"/>
    </row>
    <row r="253" spans="7:8">
      <c r="G253" s="1"/>
      <c r="H253" s="1"/>
    </row>
    <row r="254" spans="7:8">
      <c r="G254" s="1"/>
      <c r="H254" s="1"/>
    </row>
    <row r="255" spans="7:8">
      <c r="G255" s="1"/>
      <c r="H255" s="1"/>
    </row>
    <row r="256" spans="7:8">
      <c r="G256" s="1"/>
      <c r="H256" s="1"/>
    </row>
    <row r="257" spans="7:8">
      <c r="G257" s="1"/>
      <c r="H257" s="1"/>
    </row>
    <row r="258" spans="7:8">
      <c r="G258" s="1"/>
      <c r="H258" s="1"/>
    </row>
    <row r="259" spans="7:8">
      <c r="G259" s="1"/>
      <c r="H259" s="1"/>
    </row>
    <row r="260" spans="7:8">
      <c r="G260" s="1"/>
      <c r="H260" s="1"/>
    </row>
    <row r="261" spans="7:8">
      <c r="G261" s="1"/>
      <c r="H261" s="1"/>
    </row>
    <row r="262" spans="7:8">
      <c r="G262" s="1"/>
      <c r="H262" s="1"/>
    </row>
    <row r="263" spans="7:8">
      <c r="G263" s="1"/>
      <c r="H263" s="1"/>
    </row>
    <row r="264" spans="7:8">
      <c r="G264" s="1"/>
      <c r="H264" s="1"/>
    </row>
    <row r="265" spans="7:8">
      <c r="G265" s="1"/>
      <c r="H265" s="1"/>
    </row>
    <row r="266" spans="7:8">
      <c r="G266" s="1"/>
      <c r="H266" s="1"/>
    </row>
    <row r="267" spans="7:8">
      <c r="G267" s="1"/>
      <c r="H267" s="1"/>
    </row>
    <row r="268" spans="7:8">
      <c r="G268" s="1"/>
      <c r="H268" s="1"/>
    </row>
    <row r="269" spans="7:8">
      <c r="G269" s="1"/>
      <c r="H269" s="1"/>
    </row>
    <row r="270" spans="7:8">
      <c r="G270" s="1"/>
      <c r="H270" s="1"/>
    </row>
    <row r="271" spans="7:8">
      <c r="G271" s="1"/>
      <c r="H271" s="1"/>
    </row>
    <row r="272" spans="7:8">
      <c r="G272" s="1"/>
      <c r="H272" s="1"/>
    </row>
    <row r="273" spans="7:8">
      <c r="G273" s="1"/>
      <c r="H273" s="1"/>
    </row>
    <row r="274" spans="7:8">
      <c r="G274" s="1"/>
      <c r="H274" s="1"/>
    </row>
    <row r="275" spans="7:8">
      <c r="G275" s="1"/>
      <c r="H275" s="1"/>
    </row>
    <row r="276" spans="7:8">
      <c r="G276" s="1"/>
      <c r="H276" s="1"/>
    </row>
    <row r="277" spans="7:8">
      <c r="G277" s="1"/>
      <c r="H277" s="1"/>
    </row>
    <row r="278" spans="7:8">
      <c r="G278" s="1"/>
      <c r="H278" s="1"/>
    </row>
    <row r="279" spans="7:8">
      <c r="G279" s="1"/>
      <c r="H279" s="1"/>
    </row>
    <row r="280" spans="7:8">
      <c r="G280" s="1"/>
      <c r="H280" s="1"/>
    </row>
    <row r="281" spans="7:8">
      <c r="G281" s="1"/>
      <c r="H281" s="1"/>
    </row>
    <row r="282" spans="7:8">
      <c r="G282" s="1"/>
      <c r="H282" s="1"/>
    </row>
    <row r="283" spans="7:8">
      <c r="G283" s="1"/>
      <c r="H283" s="1"/>
    </row>
    <row r="284" spans="7:8">
      <c r="G284" s="1"/>
      <c r="H284" s="1"/>
    </row>
    <row r="285" spans="7:8">
      <c r="G285" s="1"/>
      <c r="H285" s="1"/>
    </row>
    <row r="286" spans="7:8">
      <c r="G286" s="1"/>
      <c r="H286" s="1"/>
    </row>
    <row r="287" spans="7:8">
      <c r="G287" s="1"/>
      <c r="H287" s="1"/>
    </row>
    <row r="288" spans="7:8">
      <c r="G288" s="1"/>
      <c r="H288" s="1"/>
    </row>
    <row r="289" spans="7:8">
      <c r="G289" s="1"/>
      <c r="H289" s="1"/>
    </row>
    <row r="290" spans="7:8">
      <c r="G290" s="1"/>
      <c r="H290" s="1"/>
    </row>
    <row r="291" spans="7:8">
      <c r="G291" s="1"/>
      <c r="H291" s="1"/>
    </row>
    <row r="292" spans="7:8">
      <c r="G292" s="1"/>
      <c r="H292" s="1"/>
    </row>
    <row r="293" spans="7:8">
      <c r="G293" s="1"/>
      <c r="H293" s="1"/>
    </row>
    <row r="294" spans="7:8">
      <c r="G294" s="1"/>
      <c r="H294" s="1"/>
    </row>
    <row r="295" spans="7:8">
      <c r="G295" s="1"/>
      <c r="H295" s="1"/>
    </row>
    <row r="296" spans="7:8">
      <c r="G296" s="1"/>
      <c r="H296" s="1"/>
    </row>
    <row r="297" spans="7:8">
      <c r="G297" s="1"/>
      <c r="H297" s="1"/>
    </row>
    <row r="298" spans="7:8">
      <c r="G298" s="1"/>
      <c r="H298" s="1"/>
    </row>
    <row r="299" spans="7:8">
      <c r="G299" s="1"/>
      <c r="H299" s="1"/>
    </row>
    <row r="300" spans="7:8">
      <c r="G300" s="1"/>
      <c r="H300" s="1"/>
    </row>
    <row r="301" spans="7:8">
      <c r="G301" s="1"/>
      <c r="H301" s="1"/>
    </row>
    <row r="302" spans="7:8">
      <c r="G302" s="1"/>
      <c r="H302" s="1"/>
    </row>
    <row r="303" spans="7:8">
      <c r="G303" s="1"/>
      <c r="H303" s="1"/>
    </row>
    <row r="304" spans="7:8">
      <c r="G304" s="1"/>
      <c r="H304" s="1"/>
    </row>
    <row r="305" spans="7:8">
      <c r="G305" s="1"/>
      <c r="H305" s="1"/>
    </row>
    <row r="306" spans="7:8">
      <c r="G306" s="1"/>
      <c r="H306" s="1"/>
    </row>
    <row r="307" spans="7:8">
      <c r="G307" s="1"/>
      <c r="H307" s="1"/>
    </row>
    <row r="308" spans="7:8">
      <c r="G308" s="1"/>
      <c r="H308" s="1"/>
    </row>
    <row r="309" spans="7:8">
      <c r="G309" s="1"/>
      <c r="H309" s="1"/>
    </row>
    <row r="310" spans="7:8">
      <c r="G310" s="1"/>
      <c r="H310" s="1"/>
    </row>
    <row r="311" spans="7:8">
      <c r="G311" s="1"/>
      <c r="H311" s="1"/>
    </row>
    <row r="312" spans="7:8">
      <c r="G312" s="1"/>
      <c r="H312" s="1"/>
    </row>
    <row r="313" spans="7:8">
      <c r="G313" s="1"/>
      <c r="H313" s="1"/>
    </row>
    <row r="314" spans="7:8">
      <c r="G314" s="1"/>
      <c r="H314" s="1"/>
    </row>
    <row r="315" spans="7:8">
      <c r="G315" s="1"/>
      <c r="H315" s="1"/>
    </row>
    <row r="316" spans="7:8">
      <c r="G316" s="1"/>
      <c r="H316" s="1"/>
    </row>
    <row r="317" spans="7:8">
      <c r="G317" s="1"/>
      <c r="H317" s="1"/>
    </row>
    <row r="318" spans="7:8">
      <c r="G318" s="1"/>
      <c r="H318" s="1"/>
    </row>
    <row r="319" spans="7:8">
      <c r="G319" s="1"/>
      <c r="H319" s="1"/>
    </row>
    <row r="320" spans="7:8">
      <c r="G320" s="1"/>
      <c r="H320" s="1"/>
    </row>
    <row r="321" spans="7:8">
      <c r="G321" s="1"/>
      <c r="H321" s="1"/>
    </row>
    <row r="322" spans="7:8">
      <c r="G322" s="1"/>
      <c r="H322" s="1"/>
    </row>
    <row r="323" spans="7:8">
      <c r="G323" s="1"/>
      <c r="H323" s="1"/>
    </row>
    <row r="324" spans="7:8">
      <c r="G324" s="1"/>
      <c r="H324" s="1"/>
    </row>
    <row r="325" spans="7:8">
      <c r="G325" s="1"/>
      <c r="H325" s="1"/>
    </row>
    <row r="326" spans="7:8">
      <c r="G326" s="1"/>
      <c r="H326" s="1"/>
    </row>
    <row r="327" spans="7:8">
      <c r="G327" s="1"/>
      <c r="H327" s="1"/>
    </row>
    <row r="328" spans="7:8">
      <c r="G328" s="1"/>
      <c r="H328" s="1"/>
    </row>
  </sheetData>
  <mergeCells count="3">
    <mergeCell ref="I3:M40"/>
    <mergeCell ref="A41:M43"/>
    <mergeCell ref="D44:G61"/>
  </mergeCells>
  <dataValidations count="6">
    <dataValidation allowBlank="1" showInputMessage="1" showErrorMessage="1" promptTitle="注意，此处是初步标签" prompt="注意，此处是初步标签" sqref="G1 G3 G4:H4 G40:H40 G194:H194 G208:H208 G216:H216 G217 G218:H218 G228:H228 H240 G245:H245 G252:H252 G260:H260 G282:H282 G286:H286 G298:H298 G5:G21 G24:G39 G41:G193 G195:G207 G209:G215 G219:G227 G229:G232 G234:G239 G241:G244 G246:G251 G253:G259 G268:G281 G283:G285 G287:G292 G295:G297 G299:G308 G329:G1048576 G22:H23"/>
    <dataValidation allowBlank="1" showInputMessage="1" showErrorMessage="1" promptTitle="注意，这个是研判后标签" prompt="注意，这个是研判后标签" sqref="H1 H3 H217 H262 H299 H5:H21 H24:H39 H62:H193 H195:H207 H209:H215 H219:H227 H229:H239 H241:H244 H246:H251 H253:H259 H268:H281 H283:H285 H287:H292 H295:H297 H301:H302 H304:H307 H329:H1048576"/>
    <dataValidation type="list" allowBlank="1" showInputMessage="1" showErrorMessage="1" sqref="B3:B1048576">
      <formula1>"user,worker,tech,gov"</formula1>
    </dataValidation>
    <dataValidation type="list" allowBlank="1" showInputMessage="1" showErrorMessage="1" sqref="C3:C1048576">
      <formula1>"P.R. China,United States,European Union,Kenya"</formula1>
    </dataValidation>
    <dataValidation type="list" allowBlank="1" showInputMessage="1" showErrorMessage="1" sqref="D3:D40 D61:E1048576">
      <formula1>"DeepSeek Reasoner V3.2,OpenAI ChatGPT 5.4 Pro,Google Gemini 3.1 Pro Preview,Doubao Seed 2.0 Pro"</formula1>
    </dataValidation>
    <dataValidation type="list" allowBlank="1" showInputMessage="1" showErrorMessage="1" sqref="M3:M65 M329:M1048576">
      <formula1>"1(4/4),0.75(3/4),0.6(2/4+votepass),0.4(2/4+votedenied),0.25(1/4)"</formula1>
    </dataValidation>
  </dataValidations>
  <pageMargins left="0.75" right="0.75" top="1" bottom="1" header="0.5" footer="0.5"/>
  <headerFooter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6"/>
  <sheetViews>
    <sheetView zoomScale="85" zoomScaleNormal="85" workbookViewId="0">
      <pane ySplit="2" topLeftCell="A3" activePane="bottomLeft" state="frozen"/>
      <selection/>
      <selection pane="bottomLeft" activeCell="G20" sqref="G20"/>
    </sheetView>
  </sheetViews>
  <sheetFormatPr defaultColWidth="8.61261261261261" defaultRowHeight="14.1"/>
  <cols>
    <col min="1" max="1" width="20.7117117117117" customWidth="1"/>
    <col min="2" max="2" width="11.7027027027027" customWidth="1"/>
    <col min="3" max="3" width="19.5495495495495" customWidth="1"/>
    <col min="4" max="4" width="25.1621621621622" customWidth="1"/>
    <col min="5" max="5" width="9.46846846846847" customWidth="1"/>
    <col min="6" max="6" width="12.8558558558559" customWidth="1"/>
    <col min="7" max="7" width="30.4144144144144" customWidth="1"/>
    <col min="8" max="8" width="34.0810810810811" customWidth="1"/>
    <col min="9" max="9" width="11.7027027027027" customWidth="1"/>
    <col min="10" max="10" width="13.9369369369369" customWidth="1"/>
    <col min="11" max="11" width="11.7027027027027" customWidth="1"/>
    <col min="12" max="12" width="20.7117117117117" customWidth="1"/>
    <col min="13" max="13" width="17.3243243243243" customWidth="1"/>
  </cols>
  <sheetData>
    <row r="1" spans="1:13">
      <c r="A1" s="3" t="s">
        <v>6</v>
      </c>
      <c r="B1" s="3" t="s">
        <v>266</v>
      </c>
      <c r="C1" s="3" t="s">
        <v>267</v>
      </c>
      <c r="D1" s="3" t="s">
        <v>268</v>
      </c>
      <c r="E1" s="3" t="s">
        <v>497</v>
      </c>
      <c r="F1" s="3" t="s">
        <v>269</v>
      </c>
      <c r="G1" s="3" t="s">
        <v>270</v>
      </c>
      <c r="H1" s="3" t="s">
        <v>271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</row>
    <row r="2" spans="1:13">
      <c r="A2" s="3" t="s">
        <v>272</v>
      </c>
      <c r="B2" s="3" t="s">
        <v>272</v>
      </c>
      <c r="C2" s="3" t="s">
        <v>272</v>
      </c>
      <c r="D2" s="3" t="s">
        <v>272</v>
      </c>
      <c r="E2" s="3"/>
      <c r="F2" s="3" t="str">
        <f>IF(OR(D2="Doubao Seed 2.0 Pro",D2="DeepSeek Reasoner V3.2"),"China","US")</f>
        <v>US</v>
      </c>
      <c r="G2" s="3" t="s">
        <v>272</v>
      </c>
      <c r="H2" s="3" t="s">
        <v>272</v>
      </c>
      <c r="I2" s="3" t="s">
        <v>272</v>
      </c>
      <c r="J2" s="3">
        <f ca="1">RANDBETWEEN(10000,99999)</f>
        <v>19100</v>
      </c>
      <c r="K2" s="3" t="str">
        <f ca="1">IF(MOD(J2,2)=0,"China-backup","US-backup")</f>
        <v>China-backup</v>
      </c>
      <c r="L2" s="3" t="s">
        <v>272</v>
      </c>
      <c r="M2" s="3" t="s">
        <v>272</v>
      </c>
    </row>
    <row r="3" spans="1:13">
      <c r="A3" s="3" t="str">
        <f>C3&amp;"-"&amp;B3</f>
        <v>Kenya-worker</v>
      </c>
      <c r="B3" s="3" t="s">
        <v>36</v>
      </c>
      <c r="C3" s="3" t="s">
        <v>35</v>
      </c>
      <c r="D3" s="3" t="s">
        <v>273</v>
      </c>
      <c r="E3" s="3" cm="1">
        <f t="array" ref="E3">_xlfn.IFS(D3="Doubao Seed 2.0 Pro",1,D3="Deepseek Reasoner V3.2",2,D3="Google Gemini 3.1 Pro Preview",3,D3="OpenAI ChatGPT 5.4 Pro",4)</f>
        <v>1</v>
      </c>
      <c r="F3" s="3" t="str">
        <f>IF(OR(D3="Doubao Seed 2.0 Pro",D3="DeepSeek Reasoner V3.2"),"China","US")</f>
        <v>China</v>
      </c>
      <c r="G3" s="3" t="s">
        <v>392</v>
      </c>
      <c r="H3" s="3" t="s">
        <v>113</v>
      </c>
      <c r="I3" s="4" t="s">
        <v>197</v>
      </c>
      <c r="J3" s="4"/>
      <c r="K3" s="4"/>
      <c r="L3" s="4"/>
      <c r="M3" s="4"/>
    </row>
    <row r="4" spans="1:13">
      <c r="A4" s="3" t="str">
        <f>C4&amp;"-"&amp;B4</f>
        <v>Kenya-worker</v>
      </c>
      <c r="B4" s="3" t="s">
        <v>36</v>
      </c>
      <c r="C4" s="3" t="s">
        <v>35</v>
      </c>
      <c r="D4" s="3" t="s">
        <v>273</v>
      </c>
      <c r="E4" s="3" cm="1">
        <f t="array" ref="E4">_xlfn.IFS(D4="Doubao Seed 2.0 Pro",1,D4="Deepseek Reasoner V3.2",2,D4="Google Gemini 3.1 Pro Preview",3,D4="OpenAI ChatGPT 5.4 Pro",4)</f>
        <v>1</v>
      </c>
      <c r="F4" s="3" t="str">
        <f>IF(OR(D4="Doubao Seed 2.0 Pro",D4="DeepSeek Reasoner V3.2"),"China","US")</f>
        <v>China</v>
      </c>
      <c r="G4" s="3" t="s">
        <v>523</v>
      </c>
      <c r="H4" s="3" t="s">
        <v>113</v>
      </c>
      <c r="I4" s="4"/>
      <c r="J4" s="4"/>
      <c r="K4" s="4"/>
      <c r="L4" s="4"/>
      <c r="M4" s="4"/>
    </row>
    <row r="5" spans="1:13">
      <c r="A5" s="3" t="str">
        <f>C5&amp;"-"&amp;B5</f>
        <v>Kenya-worker</v>
      </c>
      <c r="B5" s="3" t="s">
        <v>36</v>
      </c>
      <c r="C5" s="3" t="s">
        <v>35</v>
      </c>
      <c r="D5" s="3" t="s">
        <v>273</v>
      </c>
      <c r="E5" s="3" cm="1">
        <f t="array" ref="E5">_xlfn.IFS(D5="Doubao Seed 2.0 Pro",1,D5="Deepseek Reasoner V3.2",2,D5="Google Gemini 3.1 Pro Preview",3,D5="OpenAI ChatGPT 5.4 Pro",4)</f>
        <v>1</v>
      </c>
      <c r="F5" s="3" t="str">
        <f>IF(OR(D5="Doubao Seed 2.0 Pro",D5="DeepSeek Reasoner V3.2"),"China","US")</f>
        <v>China</v>
      </c>
      <c r="G5" s="3" t="s">
        <v>524</v>
      </c>
      <c r="H5" s="3" t="s">
        <v>99</v>
      </c>
      <c r="I5" s="4"/>
      <c r="J5" s="4"/>
      <c r="K5" s="4"/>
      <c r="L5" s="4"/>
      <c r="M5" s="4"/>
    </row>
    <row r="6" spans="1:13">
      <c r="A6" s="3" t="str">
        <f t="shared" ref="A6:A16" si="0">C6&amp;"-"&amp;B6</f>
        <v>Kenya-worker</v>
      </c>
      <c r="B6" s="3" t="s">
        <v>36</v>
      </c>
      <c r="C6" s="3" t="s">
        <v>35</v>
      </c>
      <c r="D6" s="3" t="s">
        <v>273</v>
      </c>
      <c r="E6" s="3" cm="1">
        <f t="array" ref="E6">_xlfn.IFS(D6="Doubao Seed 2.0 Pro",1,D6="Deepseek Reasoner V3.2",2,D6="Google Gemini 3.1 Pro Preview",3,D6="OpenAI ChatGPT 5.4 Pro",4)</f>
        <v>1</v>
      </c>
      <c r="F6" s="3" t="str">
        <f t="shared" ref="F6:F16" si="1">IF(OR(D6="Doubao Seed 2.0 Pro",D6="DeepSeek Reasoner V3.2"),"China","US")</f>
        <v>China</v>
      </c>
      <c r="G6" s="3" t="s">
        <v>525</v>
      </c>
      <c r="H6" s="3" t="s">
        <v>47</v>
      </c>
      <c r="I6" s="4"/>
      <c r="J6" s="4"/>
      <c r="K6" s="4"/>
      <c r="L6" s="4"/>
      <c r="M6" s="4"/>
    </row>
    <row r="7" spans="1:13">
      <c r="A7" s="3" t="str">
        <f t="shared" si="0"/>
        <v>Kenya-worker</v>
      </c>
      <c r="B7" s="3" t="s">
        <v>36</v>
      </c>
      <c r="C7" s="3" t="s">
        <v>35</v>
      </c>
      <c r="D7" s="3" t="s">
        <v>273</v>
      </c>
      <c r="E7" s="3" cm="1">
        <f t="array" ref="E7">_xlfn.IFS(D7="Doubao Seed 2.0 Pro",1,D7="Deepseek Reasoner V3.2",2,D7="Google Gemini 3.1 Pro Preview",3,D7="OpenAI ChatGPT 5.4 Pro",4)</f>
        <v>1</v>
      </c>
      <c r="F7" s="3" t="str">
        <f t="shared" si="1"/>
        <v>China</v>
      </c>
      <c r="G7" s="3" t="s">
        <v>390</v>
      </c>
      <c r="H7" s="3" t="s">
        <v>124</v>
      </c>
      <c r="I7" s="4"/>
      <c r="J7" s="4"/>
      <c r="K7" s="4"/>
      <c r="L7" s="4"/>
      <c r="M7" s="4"/>
    </row>
    <row r="8" spans="1:13">
      <c r="A8" s="3" t="str">
        <f t="shared" si="0"/>
        <v>Kenya-worker</v>
      </c>
      <c r="B8" s="3" t="s">
        <v>36</v>
      </c>
      <c r="C8" s="3" t="s">
        <v>35</v>
      </c>
      <c r="D8" s="3" t="s">
        <v>273</v>
      </c>
      <c r="E8" s="3" cm="1">
        <f t="array" ref="E8">_xlfn.IFS(D8="Doubao Seed 2.0 Pro",1,D8="Deepseek Reasoner V3.2",2,D8="Google Gemini 3.1 Pro Preview",3,D8="OpenAI ChatGPT 5.4 Pro",4)</f>
        <v>1</v>
      </c>
      <c r="F8" s="3" t="str">
        <f t="shared" si="1"/>
        <v>China</v>
      </c>
      <c r="G8" s="3" t="s">
        <v>526</v>
      </c>
      <c r="H8" s="3" t="s">
        <v>124</v>
      </c>
      <c r="I8" s="4"/>
      <c r="J8" s="4"/>
      <c r="K8" s="4"/>
      <c r="L8" s="4"/>
      <c r="M8" s="4"/>
    </row>
    <row r="9" spans="1:13">
      <c r="A9" s="3" t="str">
        <f t="shared" si="0"/>
        <v>Kenya-worker</v>
      </c>
      <c r="B9" s="3" t="s">
        <v>36</v>
      </c>
      <c r="C9" s="3" t="s">
        <v>35</v>
      </c>
      <c r="D9" s="3" t="s">
        <v>273</v>
      </c>
      <c r="E9" s="3" cm="1">
        <f t="array" ref="E9">_xlfn.IFS(D9="Doubao Seed 2.0 Pro",1,D9="Deepseek Reasoner V3.2",2,D9="Google Gemini 3.1 Pro Preview",3,D9="OpenAI ChatGPT 5.4 Pro",4)</f>
        <v>1</v>
      </c>
      <c r="F9" s="3" t="str">
        <f t="shared" si="1"/>
        <v>China</v>
      </c>
      <c r="G9" s="3" t="s">
        <v>338</v>
      </c>
      <c r="H9" s="3" t="s">
        <v>117</v>
      </c>
      <c r="I9" s="4"/>
      <c r="J9" s="4"/>
      <c r="K9" s="4"/>
      <c r="L9" s="4"/>
      <c r="M9" s="4"/>
    </row>
    <row r="10" spans="1:13">
      <c r="A10" s="3" t="str">
        <f t="shared" si="0"/>
        <v>Kenya-worker</v>
      </c>
      <c r="B10" s="3" t="s">
        <v>36</v>
      </c>
      <c r="C10" s="3" t="s">
        <v>35</v>
      </c>
      <c r="D10" s="3" t="s">
        <v>273</v>
      </c>
      <c r="E10" s="3" cm="1">
        <f t="array" ref="E10">_xlfn.IFS(D10="Doubao Seed 2.0 Pro",1,D10="Deepseek Reasoner V3.2",2,D10="Google Gemini 3.1 Pro Preview",3,D10="OpenAI ChatGPT 5.4 Pro",4)</f>
        <v>1</v>
      </c>
      <c r="F10" s="3" t="str">
        <f t="shared" si="1"/>
        <v>China</v>
      </c>
      <c r="G10" s="3" t="s">
        <v>527</v>
      </c>
      <c r="H10" s="3" t="s">
        <v>38</v>
      </c>
      <c r="I10" s="4"/>
      <c r="J10" s="4"/>
      <c r="K10" s="4"/>
      <c r="L10" s="4"/>
      <c r="M10" s="4"/>
    </row>
    <row r="11" spans="1:13">
      <c r="A11" s="3" t="str">
        <f t="shared" si="0"/>
        <v>Kenya-worker</v>
      </c>
      <c r="B11" s="3" t="s">
        <v>36</v>
      </c>
      <c r="C11" s="3" t="s">
        <v>35</v>
      </c>
      <c r="D11" s="3" t="s">
        <v>273</v>
      </c>
      <c r="E11" s="3" cm="1">
        <f t="array" ref="E11">_xlfn.IFS(D11="Doubao Seed 2.0 Pro",1,D11="Deepseek Reasoner V3.2",2,D11="Google Gemini 3.1 Pro Preview",3,D11="OpenAI ChatGPT 5.4 Pro",4)</f>
        <v>1</v>
      </c>
      <c r="F11" s="3" t="str">
        <f t="shared" si="1"/>
        <v>China</v>
      </c>
      <c r="G11" s="3" t="s">
        <v>528</v>
      </c>
      <c r="H11" s="3" t="s">
        <v>109</v>
      </c>
      <c r="I11" s="4"/>
      <c r="J11" s="4"/>
      <c r="K11" s="4"/>
      <c r="L11" s="4"/>
      <c r="M11" s="4"/>
    </row>
    <row r="12" spans="1:13">
      <c r="A12" s="3" t="str">
        <f t="shared" si="0"/>
        <v>Kenya-worker</v>
      </c>
      <c r="B12" s="3" t="s">
        <v>36</v>
      </c>
      <c r="C12" s="3" t="s">
        <v>35</v>
      </c>
      <c r="D12" s="3" t="s">
        <v>273</v>
      </c>
      <c r="E12" s="3" cm="1">
        <f t="array" ref="E12">_xlfn.IFS(D12="Doubao Seed 2.0 Pro",1,D12="Deepseek Reasoner V3.2",2,D12="Google Gemini 3.1 Pro Preview",3,D12="OpenAI ChatGPT 5.4 Pro",4)</f>
        <v>1</v>
      </c>
      <c r="F12" s="3" t="str">
        <f t="shared" si="1"/>
        <v>China</v>
      </c>
      <c r="G12" s="3" t="s">
        <v>116</v>
      </c>
      <c r="H12" s="3" t="s">
        <v>116</v>
      </c>
      <c r="I12" s="4"/>
      <c r="J12" s="4"/>
      <c r="K12" s="4"/>
      <c r="L12" s="4"/>
      <c r="M12" s="4"/>
    </row>
    <row r="13" spans="1:13">
      <c r="A13" s="3" t="str">
        <f t="shared" si="0"/>
        <v>Kenya-worker</v>
      </c>
      <c r="B13" s="3" t="s">
        <v>36</v>
      </c>
      <c r="C13" s="3" t="s">
        <v>35</v>
      </c>
      <c r="D13" s="3" t="s">
        <v>297</v>
      </c>
      <c r="E13" s="3" cm="1">
        <f t="array" ref="E13">_xlfn.IFS(D13="Doubao Seed 2.0 Pro",1,D13="Deepseek Reasoner V3.2",2,D13="Google Gemini 3.1 Pro Preview",3,D13="OpenAI ChatGPT 5.4 Pro",4)</f>
        <v>2</v>
      </c>
      <c r="F13" s="3" t="str">
        <f t="shared" si="1"/>
        <v>China</v>
      </c>
      <c r="G13" s="3" t="s">
        <v>523</v>
      </c>
      <c r="H13" s="3" t="s">
        <v>113</v>
      </c>
      <c r="I13" s="4"/>
      <c r="J13" s="4"/>
      <c r="K13" s="4"/>
      <c r="L13" s="4"/>
      <c r="M13" s="4"/>
    </row>
    <row r="14" spans="1:13">
      <c r="A14" s="3" t="str">
        <f t="shared" si="0"/>
        <v>Kenya-worker</v>
      </c>
      <c r="B14" s="3" t="s">
        <v>36</v>
      </c>
      <c r="C14" s="3" t="s">
        <v>35</v>
      </c>
      <c r="D14" s="3" t="s">
        <v>297</v>
      </c>
      <c r="E14" s="3" cm="1">
        <f t="array" ref="E14">_xlfn.IFS(D14="Doubao Seed 2.0 Pro",1,D14="Deepseek Reasoner V3.2",2,D14="Google Gemini 3.1 Pro Preview",3,D14="OpenAI ChatGPT 5.4 Pro",4)</f>
        <v>2</v>
      </c>
      <c r="F14" s="3" t="str">
        <f t="shared" si="1"/>
        <v>China</v>
      </c>
      <c r="G14" s="3" t="s">
        <v>527</v>
      </c>
      <c r="H14" s="3" t="s">
        <v>38</v>
      </c>
      <c r="I14" s="4"/>
      <c r="J14" s="4"/>
      <c r="K14" s="4"/>
      <c r="L14" s="4"/>
      <c r="M14" s="4"/>
    </row>
    <row r="15" spans="1:13">
      <c r="A15" s="3" t="str">
        <f t="shared" si="0"/>
        <v>Kenya-worker</v>
      </c>
      <c r="B15" s="3" t="s">
        <v>36</v>
      </c>
      <c r="C15" s="3" t="s">
        <v>35</v>
      </c>
      <c r="D15" s="3" t="s">
        <v>297</v>
      </c>
      <c r="E15" s="3" cm="1">
        <f t="array" ref="E15">_xlfn.IFS(D15="Doubao Seed 2.0 Pro",1,D15="Deepseek Reasoner V3.2",2,D15="Google Gemini 3.1 Pro Preview",3,D15="OpenAI ChatGPT 5.4 Pro",4)</f>
        <v>2</v>
      </c>
      <c r="F15" s="3" t="str">
        <f t="shared" si="1"/>
        <v>China</v>
      </c>
      <c r="G15" s="3" t="s">
        <v>524</v>
      </c>
      <c r="H15" s="3" t="s">
        <v>94</v>
      </c>
      <c r="I15" s="4"/>
      <c r="J15" s="4"/>
      <c r="K15" s="4"/>
      <c r="L15" s="4"/>
      <c r="M15" s="4"/>
    </row>
    <row r="16" spans="1:13">
      <c r="A16" s="3" t="str">
        <f t="shared" si="0"/>
        <v>Kenya-worker</v>
      </c>
      <c r="B16" s="3" t="s">
        <v>36</v>
      </c>
      <c r="C16" s="3" t="s">
        <v>35</v>
      </c>
      <c r="D16" s="3" t="s">
        <v>297</v>
      </c>
      <c r="E16" s="3" cm="1">
        <f t="array" ref="E16">_xlfn.IFS(D16="Doubao Seed 2.0 Pro",1,D16="Deepseek Reasoner V3.2",2,D16="Google Gemini 3.1 Pro Preview",3,D16="OpenAI ChatGPT 5.4 Pro",4)</f>
        <v>2</v>
      </c>
      <c r="F16" s="3" t="str">
        <f t="shared" si="1"/>
        <v>China</v>
      </c>
      <c r="G16" s="3" t="s">
        <v>398</v>
      </c>
      <c r="H16" s="3" t="s">
        <v>94</v>
      </c>
      <c r="I16" s="4"/>
      <c r="J16" s="4"/>
      <c r="K16" s="4"/>
      <c r="L16" s="4"/>
      <c r="M16" s="4"/>
    </row>
    <row r="17" spans="1:13">
      <c r="A17" s="3" t="str">
        <f t="shared" ref="A17:A22" si="2">C17&amp;"-"&amp;B17</f>
        <v>Kenya-worker</v>
      </c>
      <c r="B17" s="3" t="s">
        <v>36</v>
      </c>
      <c r="C17" s="3" t="s">
        <v>35</v>
      </c>
      <c r="D17" s="3" t="s">
        <v>297</v>
      </c>
      <c r="E17" s="3" cm="1">
        <f t="array" ref="E17">_xlfn.IFS(D17="Doubao Seed 2.0 Pro",1,D17="Deepseek Reasoner V3.2",2,D17="Google Gemini 3.1 Pro Preview",3,D17="OpenAI ChatGPT 5.4 Pro",4)</f>
        <v>2</v>
      </c>
      <c r="F17" s="3" t="str">
        <f t="shared" ref="F17:F22" si="3">IF(OR(D17="Doubao Seed 2.0 Pro",D17="DeepSeek Reasoner V3.2"),"China","US")</f>
        <v>China</v>
      </c>
      <c r="G17" s="3" t="s">
        <v>116</v>
      </c>
      <c r="H17" s="3" t="s">
        <v>116</v>
      </c>
      <c r="I17" s="4"/>
      <c r="J17" s="4"/>
      <c r="K17" s="4"/>
      <c r="L17" s="4"/>
      <c r="M17" s="4"/>
    </row>
    <row r="18" spans="1:13">
      <c r="A18" s="3" t="str">
        <f t="shared" si="2"/>
        <v>Kenya-worker</v>
      </c>
      <c r="B18" s="3" t="s">
        <v>36</v>
      </c>
      <c r="C18" s="3" t="s">
        <v>35</v>
      </c>
      <c r="D18" s="3" t="s">
        <v>297</v>
      </c>
      <c r="E18" s="3" cm="1">
        <f t="array" ref="E18">_xlfn.IFS(D18="Doubao Seed 2.0 Pro",1,D18="Deepseek Reasoner V3.2",2,D18="Google Gemini 3.1 Pro Preview",3,D18="OpenAI ChatGPT 5.4 Pro",4)</f>
        <v>2</v>
      </c>
      <c r="F18" s="3" t="str">
        <f t="shared" si="3"/>
        <v>China</v>
      </c>
      <c r="G18" s="3" t="s">
        <v>351</v>
      </c>
      <c r="H18" s="3" t="s">
        <v>108</v>
      </c>
      <c r="I18" s="4"/>
      <c r="J18" s="4"/>
      <c r="K18" s="4"/>
      <c r="L18" s="4"/>
      <c r="M18" s="4"/>
    </row>
    <row r="19" spans="1:13">
      <c r="A19" s="3" t="str">
        <f t="shared" si="2"/>
        <v>Kenya-worker</v>
      </c>
      <c r="B19" s="3" t="s">
        <v>36</v>
      </c>
      <c r="C19" s="3" t="s">
        <v>35</v>
      </c>
      <c r="D19" s="3" t="s">
        <v>297</v>
      </c>
      <c r="E19" s="3" cm="1">
        <f t="array" ref="E19">_xlfn.IFS(D19="Doubao Seed 2.0 Pro",1,D19="Deepseek Reasoner V3.2",2,D19="Google Gemini 3.1 Pro Preview",3,D19="OpenAI ChatGPT 5.4 Pro",4)</f>
        <v>2</v>
      </c>
      <c r="F19" s="3" t="str">
        <f t="shared" si="3"/>
        <v>China</v>
      </c>
      <c r="G19" s="3" t="s">
        <v>528</v>
      </c>
      <c r="H19" s="3" t="s">
        <v>109</v>
      </c>
      <c r="I19" s="4"/>
      <c r="J19" s="4"/>
      <c r="K19" s="4"/>
      <c r="L19" s="4"/>
      <c r="M19" s="4"/>
    </row>
    <row r="20" spans="1:13">
      <c r="A20" s="3" t="str">
        <f t="shared" si="2"/>
        <v>Kenya-worker</v>
      </c>
      <c r="B20" s="3" t="s">
        <v>36</v>
      </c>
      <c r="C20" s="3" t="s">
        <v>35</v>
      </c>
      <c r="D20" s="3" t="s">
        <v>297</v>
      </c>
      <c r="E20" s="3" cm="1">
        <f t="array" ref="E20">_xlfn.IFS(D20="Doubao Seed 2.0 Pro",1,D20="Deepseek Reasoner V3.2",2,D20="Google Gemini 3.1 Pro Preview",3,D20="OpenAI ChatGPT 5.4 Pro",4)</f>
        <v>2</v>
      </c>
      <c r="F20" s="3" t="str">
        <f t="shared" si="3"/>
        <v>China</v>
      </c>
      <c r="G20" s="3" t="s">
        <v>418</v>
      </c>
      <c r="H20" s="3" t="s">
        <v>123</v>
      </c>
      <c r="I20" s="4"/>
      <c r="J20" s="4"/>
      <c r="K20" s="4"/>
      <c r="L20" s="4"/>
      <c r="M20" s="4"/>
    </row>
    <row r="21" spans="1:13">
      <c r="A21" s="3" t="str">
        <f t="shared" si="2"/>
        <v>Kenya-worker</v>
      </c>
      <c r="B21" s="3" t="s">
        <v>36</v>
      </c>
      <c r="C21" s="3" t="s">
        <v>35</v>
      </c>
      <c r="D21" s="3" t="s">
        <v>297</v>
      </c>
      <c r="E21" s="3" cm="1">
        <f t="array" ref="E21">_xlfn.IFS(D21="Doubao Seed 2.0 Pro",1,D21="Deepseek Reasoner V3.2",2,D21="Google Gemini 3.1 Pro Preview",3,D21="OpenAI ChatGPT 5.4 Pro",4)</f>
        <v>2</v>
      </c>
      <c r="F21" s="3" t="str">
        <f t="shared" si="3"/>
        <v>China</v>
      </c>
      <c r="G21" s="3" t="s">
        <v>513</v>
      </c>
      <c r="H21" s="3" t="s">
        <v>252</v>
      </c>
      <c r="I21" s="4"/>
      <c r="J21" s="4"/>
      <c r="K21" s="4"/>
      <c r="L21" s="4"/>
      <c r="M21" s="4"/>
    </row>
    <row r="22" spans="1:13">
      <c r="A22" s="3" t="str">
        <f t="shared" si="2"/>
        <v>Kenya-worker</v>
      </c>
      <c r="B22" s="3" t="s">
        <v>36</v>
      </c>
      <c r="C22" s="3" t="s">
        <v>35</v>
      </c>
      <c r="D22" s="3" t="s">
        <v>297</v>
      </c>
      <c r="E22" s="3" cm="1">
        <f t="array" ref="E22">_xlfn.IFS(D22="Doubao Seed 2.0 Pro",1,D22="Deepseek Reasoner V3.2",2,D22="Google Gemini 3.1 Pro Preview",3,D22="OpenAI ChatGPT 5.4 Pro",4)</f>
        <v>2</v>
      </c>
      <c r="F22" s="3" t="str">
        <f t="shared" si="3"/>
        <v>China</v>
      </c>
      <c r="G22" s="3" t="s">
        <v>116</v>
      </c>
      <c r="H22" s="3" t="s">
        <v>116</v>
      </c>
      <c r="I22" s="4"/>
      <c r="J22" s="4"/>
      <c r="K22" s="4"/>
      <c r="L22" s="4"/>
      <c r="M22" s="4"/>
    </row>
    <row r="23" spans="1:13">
      <c r="A23" s="3" t="str">
        <f t="shared" ref="A23:A43" si="4">C23&amp;"-"&amp;B23</f>
        <v>Kenya-worker</v>
      </c>
      <c r="B23" s="3" t="s">
        <v>36</v>
      </c>
      <c r="C23" s="3" t="s">
        <v>35</v>
      </c>
      <c r="D23" s="3" t="s">
        <v>314</v>
      </c>
      <c r="E23" s="3" cm="1">
        <f t="array" ref="E23">_xlfn.IFS(D23="Doubao Seed 2.0 Pro",1,D23="Deepseek Reasoner V3.2",2,D23="Google Gemini 3.1 Pro Preview",3,D23="OpenAI ChatGPT 5.4 Pro",4)</f>
        <v>3</v>
      </c>
      <c r="F23" s="3" t="str">
        <f t="shared" ref="F23:F43" si="5">IF(OR(D23="Doubao Seed 2.0 Pro",D23="DeepSeek Reasoner V3.2"),"China","US")</f>
        <v>US</v>
      </c>
      <c r="G23" s="3" t="s">
        <v>390</v>
      </c>
      <c r="H23" s="3" t="s">
        <v>124</v>
      </c>
      <c r="I23" s="4"/>
      <c r="J23" s="4"/>
      <c r="K23" s="4"/>
      <c r="L23" s="4"/>
      <c r="M23" s="4"/>
    </row>
    <row r="24" spans="1:13">
      <c r="A24" s="3" t="str">
        <f t="shared" si="4"/>
        <v>Kenya-worker</v>
      </c>
      <c r="B24" s="3" t="s">
        <v>36</v>
      </c>
      <c r="C24" s="3" t="s">
        <v>35</v>
      </c>
      <c r="D24" s="3" t="s">
        <v>314</v>
      </c>
      <c r="E24" s="3" cm="1">
        <f t="array" ref="E24">_xlfn.IFS(D24="Doubao Seed 2.0 Pro",1,D24="Deepseek Reasoner V3.2",2,D24="Google Gemini 3.1 Pro Preview",3,D24="OpenAI ChatGPT 5.4 Pro",4)</f>
        <v>3</v>
      </c>
      <c r="F24" s="3" t="str">
        <f t="shared" si="5"/>
        <v>US</v>
      </c>
      <c r="G24" s="3" t="s">
        <v>523</v>
      </c>
      <c r="H24" s="3" t="s">
        <v>113</v>
      </c>
      <c r="I24" s="4"/>
      <c r="J24" s="4"/>
      <c r="K24" s="4"/>
      <c r="L24" s="4"/>
      <c r="M24" s="4"/>
    </row>
    <row r="25" spans="1:13">
      <c r="A25" s="3" t="str">
        <f t="shared" si="4"/>
        <v>Kenya-worker</v>
      </c>
      <c r="B25" s="3" t="s">
        <v>36</v>
      </c>
      <c r="C25" s="3" t="s">
        <v>35</v>
      </c>
      <c r="D25" s="3" t="s">
        <v>314</v>
      </c>
      <c r="E25" s="3" cm="1">
        <f t="array" ref="E25">_xlfn.IFS(D25="Doubao Seed 2.0 Pro",1,D25="Deepseek Reasoner V3.2",2,D25="Google Gemini 3.1 Pro Preview",3,D25="OpenAI ChatGPT 5.4 Pro",4)</f>
        <v>3</v>
      </c>
      <c r="F25" s="3" t="str">
        <f t="shared" si="5"/>
        <v>US</v>
      </c>
      <c r="G25" s="3" t="s">
        <v>527</v>
      </c>
      <c r="H25" s="3" t="s">
        <v>38</v>
      </c>
      <c r="I25" s="4"/>
      <c r="J25" s="4"/>
      <c r="K25" s="4"/>
      <c r="L25" s="4"/>
      <c r="M25" s="4"/>
    </row>
    <row r="26" spans="1:13">
      <c r="A26" s="3" t="str">
        <f t="shared" si="4"/>
        <v>Kenya-worker</v>
      </c>
      <c r="B26" s="3" t="s">
        <v>36</v>
      </c>
      <c r="C26" s="3" t="s">
        <v>35</v>
      </c>
      <c r="D26" s="3" t="s">
        <v>314</v>
      </c>
      <c r="E26" s="3" cm="1">
        <f t="array" ref="E26">_xlfn.IFS(D26="Doubao Seed 2.0 Pro",1,D26="Deepseek Reasoner V3.2",2,D26="Google Gemini 3.1 Pro Preview",3,D26="OpenAI ChatGPT 5.4 Pro",4)</f>
        <v>3</v>
      </c>
      <c r="F26" s="3" t="str">
        <f t="shared" si="5"/>
        <v>US</v>
      </c>
      <c r="G26" s="3" t="s">
        <v>116</v>
      </c>
      <c r="H26" s="3" t="s">
        <v>116</v>
      </c>
      <c r="I26" s="4"/>
      <c r="J26" s="4"/>
      <c r="K26" s="4"/>
      <c r="L26" s="4"/>
      <c r="M26" s="4"/>
    </row>
    <row r="27" spans="1:13">
      <c r="A27" s="3" t="str">
        <f t="shared" si="4"/>
        <v>Kenya-worker</v>
      </c>
      <c r="B27" s="3" t="s">
        <v>36</v>
      </c>
      <c r="C27" s="3" t="s">
        <v>35</v>
      </c>
      <c r="D27" s="3" t="s">
        <v>314</v>
      </c>
      <c r="E27" s="3" cm="1">
        <f t="array" ref="E27">_xlfn.IFS(D27="Doubao Seed 2.0 Pro",1,D27="Deepseek Reasoner V3.2",2,D27="Google Gemini 3.1 Pro Preview",3,D27="OpenAI ChatGPT 5.4 Pro",4)</f>
        <v>3</v>
      </c>
      <c r="F27" s="3" t="str">
        <f t="shared" si="5"/>
        <v>US</v>
      </c>
      <c r="G27" s="3" t="s">
        <v>525</v>
      </c>
      <c r="H27" s="3" t="s">
        <v>47</v>
      </c>
      <c r="I27" s="4"/>
      <c r="J27" s="4"/>
      <c r="K27" s="4"/>
      <c r="L27" s="4"/>
      <c r="M27" s="4"/>
    </row>
    <row r="28" spans="1:13">
      <c r="A28" s="3" t="str">
        <f t="shared" si="4"/>
        <v>Kenya-worker</v>
      </c>
      <c r="B28" s="3" t="s">
        <v>36</v>
      </c>
      <c r="C28" s="3" t="s">
        <v>35</v>
      </c>
      <c r="D28" s="3" t="s">
        <v>314</v>
      </c>
      <c r="E28" s="3" cm="1">
        <f t="array" ref="E28">_xlfn.IFS(D28="Doubao Seed 2.0 Pro",1,D28="Deepseek Reasoner V3.2",2,D28="Google Gemini 3.1 Pro Preview",3,D28="OpenAI ChatGPT 5.4 Pro",4)</f>
        <v>3</v>
      </c>
      <c r="F28" s="3" t="str">
        <f t="shared" si="5"/>
        <v>US</v>
      </c>
      <c r="G28" s="3" t="s">
        <v>503</v>
      </c>
      <c r="H28" s="3" t="s">
        <v>98</v>
      </c>
      <c r="I28" s="4"/>
      <c r="J28" s="4"/>
      <c r="K28" s="4"/>
      <c r="L28" s="4"/>
      <c r="M28" s="4"/>
    </row>
    <row r="29" spans="1:13">
      <c r="A29" s="3" t="str">
        <f t="shared" si="4"/>
        <v>Kenya-worker</v>
      </c>
      <c r="B29" s="3" t="s">
        <v>36</v>
      </c>
      <c r="C29" s="3" t="s">
        <v>35</v>
      </c>
      <c r="D29" s="3" t="s">
        <v>314</v>
      </c>
      <c r="E29" s="3" cm="1">
        <f t="array" ref="E29">_xlfn.IFS(D29="Doubao Seed 2.0 Pro",1,D29="Deepseek Reasoner V3.2",2,D29="Google Gemini 3.1 Pro Preview",3,D29="OpenAI ChatGPT 5.4 Pro",4)</f>
        <v>3</v>
      </c>
      <c r="F29" s="3" t="str">
        <f t="shared" si="5"/>
        <v>US</v>
      </c>
      <c r="G29" s="3" t="s">
        <v>98</v>
      </c>
      <c r="H29" s="3" t="s">
        <v>98</v>
      </c>
      <c r="I29" s="4"/>
      <c r="J29" s="4"/>
      <c r="K29" s="4"/>
      <c r="L29" s="4"/>
      <c r="M29" s="4"/>
    </row>
    <row r="30" spans="1:13">
      <c r="A30" s="3" t="str">
        <f t="shared" si="4"/>
        <v>Kenya-worker</v>
      </c>
      <c r="B30" s="3" t="s">
        <v>36</v>
      </c>
      <c r="C30" s="3" t="s">
        <v>35</v>
      </c>
      <c r="D30" s="3" t="s">
        <v>314</v>
      </c>
      <c r="E30" s="3" cm="1">
        <f t="array" ref="E30">_xlfn.IFS(D30="Doubao Seed 2.0 Pro",1,D30="Deepseek Reasoner V3.2",2,D30="Google Gemini 3.1 Pro Preview",3,D30="OpenAI ChatGPT 5.4 Pro",4)</f>
        <v>3</v>
      </c>
      <c r="F30" s="3" t="str">
        <f t="shared" si="5"/>
        <v>US</v>
      </c>
      <c r="G30" s="3" t="s">
        <v>418</v>
      </c>
      <c r="H30" t="s">
        <v>123</v>
      </c>
      <c r="I30" s="4"/>
      <c r="J30" s="4"/>
      <c r="K30" s="4"/>
      <c r="L30" s="4"/>
      <c r="M30" s="4"/>
    </row>
    <row r="31" spans="1:13">
      <c r="A31" s="3" t="str">
        <f t="shared" si="4"/>
        <v>Kenya-worker</v>
      </c>
      <c r="B31" s="3" t="s">
        <v>36</v>
      </c>
      <c r="C31" s="3" t="s">
        <v>35</v>
      </c>
      <c r="D31" s="3" t="s">
        <v>329</v>
      </c>
      <c r="E31" s="3" cm="1">
        <f t="array" ref="E31">_xlfn.IFS(D31="Doubao Seed 2.0 Pro",1,D31="Deepseek Reasoner V3.2",2,D31="Google Gemini 3.1 Pro Preview",3,D31="OpenAI ChatGPT 5.4 Pro",4)</f>
        <v>4</v>
      </c>
      <c r="F31" s="3" t="str">
        <f t="shared" si="5"/>
        <v>US</v>
      </c>
      <c r="G31" s="3" t="s">
        <v>527</v>
      </c>
      <c r="H31" s="3" t="s">
        <v>38</v>
      </c>
      <c r="I31" s="4"/>
      <c r="J31" s="4"/>
      <c r="K31" s="4"/>
      <c r="L31" s="4"/>
      <c r="M31" s="4"/>
    </row>
    <row r="32" spans="1:13">
      <c r="A32" s="3" t="str">
        <f t="shared" si="4"/>
        <v>Kenya-worker</v>
      </c>
      <c r="B32" s="3" t="s">
        <v>36</v>
      </c>
      <c r="C32" s="3" t="s">
        <v>35</v>
      </c>
      <c r="D32" s="3" t="s">
        <v>329</v>
      </c>
      <c r="E32" s="3" cm="1">
        <f t="array" ref="E32">_xlfn.IFS(D32="Doubao Seed 2.0 Pro",1,D32="Deepseek Reasoner V3.2",2,D32="Google Gemini 3.1 Pro Preview",3,D32="OpenAI ChatGPT 5.4 Pro",4)</f>
        <v>4</v>
      </c>
      <c r="F32" s="3" t="str">
        <f t="shared" si="5"/>
        <v>US</v>
      </c>
      <c r="G32" s="3" t="s">
        <v>528</v>
      </c>
      <c r="H32" s="3" t="s">
        <v>109</v>
      </c>
      <c r="I32" s="4"/>
      <c r="J32" s="4"/>
      <c r="K32" s="4"/>
      <c r="L32" s="4"/>
      <c r="M32" s="4"/>
    </row>
    <row r="33" spans="1:13">
      <c r="A33" s="3" t="str">
        <f t="shared" si="4"/>
        <v>Kenya-worker</v>
      </c>
      <c r="B33" s="3" t="s">
        <v>36</v>
      </c>
      <c r="C33" s="3" t="s">
        <v>35</v>
      </c>
      <c r="D33" s="3" t="s">
        <v>329</v>
      </c>
      <c r="E33" s="3" cm="1">
        <f t="array" ref="E33">_xlfn.IFS(D33="Doubao Seed 2.0 Pro",1,D33="Deepseek Reasoner V3.2",2,D33="Google Gemini 3.1 Pro Preview",3,D33="OpenAI ChatGPT 5.4 Pro",4)</f>
        <v>4</v>
      </c>
      <c r="F33" s="3" t="str">
        <f t="shared" si="5"/>
        <v>US</v>
      </c>
      <c r="G33" s="3" t="s">
        <v>116</v>
      </c>
      <c r="H33" s="3" t="s">
        <v>116</v>
      </c>
      <c r="I33" s="4"/>
      <c r="J33" s="4"/>
      <c r="K33" s="4"/>
      <c r="L33" s="4"/>
      <c r="M33" s="4"/>
    </row>
    <row r="34" spans="1:13">
      <c r="A34" s="3" t="str">
        <f t="shared" si="4"/>
        <v>Kenya-worker</v>
      </c>
      <c r="B34" s="3" t="s">
        <v>36</v>
      </c>
      <c r="C34" s="3" t="s">
        <v>35</v>
      </c>
      <c r="D34" s="3" t="s">
        <v>329</v>
      </c>
      <c r="E34" s="3" cm="1">
        <f t="array" ref="E34">_xlfn.IFS(D34="Doubao Seed 2.0 Pro",1,D34="Deepseek Reasoner V3.2",2,D34="Google Gemini 3.1 Pro Preview",3,D34="OpenAI ChatGPT 5.4 Pro",4)</f>
        <v>4</v>
      </c>
      <c r="F34" s="3" t="str">
        <f t="shared" si="5"/>
        <v>US</v>
      </c>
      <c r="G34" s="3" t="s">
        <v>525</v>
      </c>
      <c r="H34" s="3" t="s">
        <v>47</v>
      </c>
      <c r="I34" s="4"/>
      <c r="J34" s="4"/>
      <c r="K34" s="4"/>
      <c r="L34" s="4"/>
      <c r="M34" s="4"/>
    </row>
    <row r="35" spans="1:13">
      <c r="A35" s="3" t="str">
        <f t="shared" si="4"/>
        <v>Kenya-worker</v>
      </c>
      <c r="B35" s="3" t="s">
        <v>36</v>
      </c>
      <c r="C35" s="3" t="s">
        <v>35</v>
      </c>
      <c r="D35" s="3" t="s">
        <v>329</v>
      </c>
      <c r="E35" s="3" cm="1">
        <f t="array" ref="E35">_xlfn.IFS(D35="Doubao Seed 2.0 Pro",1,D35="Deepseek Reasoner V3.2",2,D35="Google Gemini 3.1 Pro Preview",3,D35="OpenAI ChatGPT 5.4 Pro",4)</f>
        <v>4</v>
      </c>
      <c r="F35" s="3" t="str">
        <f t="shared" si="5"/>
        <v>US</v>
      </c>
      <c r="G35" s="3" t="s">
        <v>390</v>
      </c>
      <c r="H35" s="3" t="s">
        <v>124</v>
      </c>
      <c r="I35" s="4"/>
      <c r="J35" s="4"/>
      <c r="K35" s="4"/>
      <c r="L35" s="4"/>
      <c r="M35" s="4"/>
    </row>
    <row r="36" spans="1:13">
      <c r="A36" s="3" t="str">
        <f t="shared" si="4"/>
        <v>Kenya-worker</v>
      </c>
      <c r="B36" s="3" t="s">
        <v>36</v>
      </c>
      <c r="C36" s="3" t="s">
        <v>35</v>
      </c>
      <c r="D36" s="3" t="s">
        <v>329</v>
      </c>
      <c r="E36" s="3" cm="1">
        <f t="array" ref="E36">_xlfn.IFS(D36="Doubao Seed 2.0 Pro",1,D36="Deepseek Reasoner V3.2",2,D36="Google Gemini 3.1 Pro Preview",3,D36="OpenAI ChatGPT 5.4 Pro",4)</f>
        <v>4</v>
      </c>
      <c r="F36" s="3" t="str">
        <f t="shared" si="5"/>
        <v>US</v>
      </c>
      <c r="G36" s="3" t="s">
        <v>392</v>
      </c>
      <c r="H36" s="3" t="s">
        <v>113</v>
      </c>
      <c r="I36" s="4"/>
      <c r="J36" s="4"/>
      <c r="K36" s="4"/>
      <c r="L36" s="4"/>
      <c r="M36" s="4"/>
    </row>
    <row r="37" spans="1:13">
      <c r="A37" s="3" t="str">
        <f t="shared" si="4"/>
        <v>Kenya-worker</v>
      </c>
      <c r="B37" s="3" t="s">
        <v>36</v>
      </c>
      <c r="C37" s="3" t="s">
        <v>35</v>
      </c>
      <c r="D37" s="3" t="s">
        <v>329</v>
      </c>
      <c r="E37" s="3" cm="1">
        <f t="array" ref="E37">_xlfn.IFS(D37="Doubao Seed 2.0 Pro",1,D37="Deepseek Reasoner V3.2",2,D37="Google Gemini 3.1 Pro Preview",3,D37="OpenAI ChatGPT 5.4 Pro",4)</f>
        <v>4</v>
      </c>
      <c r="F37" s="3" t="str">
        <f t="shared" si="5"/>
        <v>US</v>
      </c>
      <c r="G37" s="3" t="s">
        <v>418</v>
      </c>
      <c r="H37" s="3" t="s">
        <v>123</v>
      </c>
      <c r="I37" s="4"/>
      <c r="J37" s="4"/>
      <c r="K37" s="4"/>
      <c r="L37" s="4"/>
      <c r="M37" s="4"/>
    </row>
    <row r="38" spans="1:13">
      <c r="A38" s="3" t="str">
        <f t="shared" si="4"/>
        <v>Kenya-worker</v>
      </c>
      <c r="B38" s="3" t="s">
        <v>36</v>
      </c>
      <c r="C38" s="3" t="s">
        <v>35</v>
      </c>
      <c r="D38" s="3" t="s">
        <v>329</v>
      </c>
      <c r="E38" s="3" cm="1">
        <f t="array" ref="E38">_xlfn.IFS(D38="Doubao Seed 2.0 Pro",1,D38="Deepseek Reasoner V3.2",2,D38="Google Gemini 3.1 Pro Preview",3,D38="OpenAI ChatGPT 5.4 Pro",4)</f>
        <v>4</v>
      </c>
      <c r="F38" s="3" t="str">
        <f t="shared" si="5"/>
        <v>US</v>
      </c>
      <c r="G38" s="3" t="s">
        <v>421</v>
      </c>
      <c r="H38" s="3" t="s">
        <v>232</v>
      </c>
      <c r="I38" s="4"/>
      <c r="J38" s="4"/>
      <c r="K38" s="4"/>
      <c r="L38" s="4"/>
      <c r="M38" s="4"/>
    </row>
    <row r="39" spans="1:13">
      <c r="A39" s="3" t="str">
        <f t="shared" si="4"/>
        <v>Kenya-worker</v>
      </c>
      <c r="B39" s="3" t="s">
        <v>36</v>
      </c>
      <c r="C39" s="3" t="s">
        <v>35</v>
      </c>
      <c r="D39" s="3" t="s">
        <v>329</v>
      </c>
      <c r="E39" s="3" cm="1">
        <f t="array" ref="E39">_xlfn.IFS(D39="Doubao Seed 2.0 Pro",1,D39="Deepseek Reasoner V3.2",2,D39="Google Gemini 3.1 Pro Preview",3,D39="OpenAI ChatGPT 5.4 Pro",4)</f>
        <v>4</v>
      </c>
      <c r="F39" s="3" t="str">
        <f t="shared" si="5"/>
        <v>US</v>
      </c>
      <c r="G39" s="3" t="s">
        <v>503</v>
      </c>
      <c r="H39" s="3" t="s">
        <v>98</v>
      </c>
      <c r="I39" s="4"/>
      <c r="J39" s="4"/>
      <c r="K39" s="4"/>
      <c r="L39" s="4"/>
      <c r="M39" s="4"/>
    </row>
    <row r="40" spans="1:13">
      <c r="A40" s="3" t="str">
        <f t="shared" si="4"/>
        <v>Kenya-worker</v>
      </c>
      <c r="B40" s="3" t="s">
        <v>36</v>
      </c>
      <c r="C40" s="3" t="s">
        <v>35</v>
      </c>
      <c r="D40" s="3" t="s">
        <v>329</v>
      </c>
      <c r="E40" s="3" cm="1">
        <f t="array" ref="E40">_xlfn.IFS(D40="Doubao Seed 2.0 Pro",1,D40="Deepseek Reasoner V3.2",2,D40="Google Gemini 3.1 Pro Preview",3,D40="OpenAI ChatGPT 5.4 Pro",4)</f>
        <v>4</v>
      </c>
      <c r="F40" s="3" t="str">
        <f t="shared" si="5"/>
        <v>US</v>
      </c>
      <c r="G40" s="3" t="s">
        <v>98</v>
      </c>
      <c r="H40" s="3" t="s">
        <v>98</v>
      </c>
      <c r="I40" s="4"/>
      <c r="J40" s="4"/>
      <c r="K40" s="4"/>
      <c r="L40" s="4"/>
      <c r="M40" s="4"/>
    </row>
    <row r="41" spans="1:13">
      <c r="A41" s="3" t="str">
        <f t="shared" si="4"/>
        <v>Kenya-worker</v>
      </c>
      <c r="B41" s="3" t="s">
        <v>36</v>
      </c>
      <c r="C41" s="3" t="s">
        <v>35</v>
      </c>
      <c r="D41" s="3" t="s">
        <v>329</v>
      </c>
      <c r="E41" s="3" cm="1">
        <f t="array" ref="E41">_xlfn.IFS(D41="Doubao Seed 2.0 Pro",1,D41="Deepseek Reasoner V3.2",2,D41="Google Gemini 3.1 Pro Preview",3,D41="OpenAI ChatGPT 5.4 Pro",4)</f>
        <v>4</v>
      </c>
      <c r="F41" s="3" t="str">
        <f t="shared" si="5"/>
        <v>US</v>
      </c>
      <c r="G41" s="3" t="s">
        <v>116</v>
      </c>
      <c r="H41" s="3" t="s">
        <v>116</v>
      </c>
      <c r="I41" s="4"/>
      <c r="J41" s="4"/>
      <c r="K41" s="4"/>
      <c r="L41" s="4"/>
      <c r="M41" s="4"/>
    </row>
    <row r="42" spans="1:13">
      <c r="A42" s="4" t="s">
        <v>419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>
      <c r="A45" s="3" t="str">
        <f t="shared" ref="A45:A62" si="6">C45&amp;"-"&amp;B45</f>
        <v>Kenya-worker</v>
      </c>
      <c r="B45" s="3" t="s">
        <v>36</v>
      </c>
      <c r="C45" s="3" t="s">
        <v>35</v>
      </c>
      <c r="D45" s="4" t="s">
        <v>197</v>
      </c>
      <c r="E45" s="4"/>
      <c r="F45" s="4"/>
      <c r="G45" s="4"/>
      <c r="H45" t="s">
        <v>124</v>
      </c>
      <c r="I45" s="3">
        <v>1</v>
      </c>
      <c r="J45" s="7"/>
      <c r="K45" s="7"/>
      <c r="L45" s="8" t="s">
        <v>24</v>
      </c>
      <c r="M45" s="8" t="s">
        <v>55</v>
      </c>
    </row>
    <row r="46" spans="1:13">
      <c r="A46" s="3" t="str">
        <f t="shared" si="6"/>
        <v>Kenya-worker</v>
      </c>
      <c r="B46" s="3" t="s">
        <v>36</v>
      </c>
      <c r="C46" s="3" t="s">
        <v>35</v>
      </c>
      <c r="D46" s="4"/>
      <c r="E46" s="4"/>
      <c r="F46" s="4"/>
      <c r="G46" s="4"/>
      <c r="H46" t="s">
        <v>123</v>
      </c>
      <c r="I46" s="3">
        <v>1</v>
      </c>
      <c r="J46" s="7"/>
      <c r="K46" s="7"/>
      <c r="L46" s="8" t="s">
        <v>24</v>
      </c>
      <c r="M46" s="8" t="s">
        <v>55</v>
      </c>
    </row>
    <row r="47" spans="1:13">
      <c r="A47" s="3" t="str">
        <f t="shared" si="6"/>
        <v>Kenya-worker</v>
      </c>
      <c r="B47" s="3" t="s">
        <v>36</v>
      </c>
      <c r="C47" s="3" t="s">
        <v>35</v>
      </c>
      <c r="D47" s="4"/>
      <c r="E47" s="4"/>
      <c r="F47" s="4"/>
      <c r="G47" s="4"/>
      <c r="H47" t="s">
        <v>117</v>
      </c>
      <c r="I47" s="3">
        <v>1</v>
      </c>
      <c r="J47" s="8"/>
      <c r="K47" s="8"/>
      <c r="L47" s="8" t="s">
        <v>199</v>
      </c>
      <c r="M47" s="8" t="s">
        <v>200</v>
      </c>
    </row>
    <row r="48" spans="1:13">
      <c r="A48" s="3" t="str">
        <f t="shared" si="6"/>
        <v>Kenya-worker</v>
      </c>
      <c r="B48" s="3" t="s">
        <v>36</v>
      </c>
      <c r="C48" s="3" t="s">
        <v>35</v>
      </c>
      <c r="D48" s="4"/>
      <c r="E48" s="4"/>
      <c r="F48" s="4"/>
      <c r="G48" s="4"/>
      <c r="H48" t="s">
        <v>116</v>
      </c>
      <c r="I48" s="3">
        <v>1</v>
      </c>
      <c r="J48" s="7"/>
      <c r="K48" s="7"/>
      <c r="L48" s="8" t="s">
        <v>24</v>
      </c>
      <c r="M48" s="8" t="s">
        <v>25</v>
      </c>
    </row>
    <row r="49" spans="1:13">
      <c r="A49" s="3" t="str">
        <f t="shared" si="6"/>
        <v>Kenya-worker</v>
      </c>
      <c r="B49" s="3" t="s">
        <v>36</v>
      </c>
      <c r="C49" s="3" t="s">
        <v>35</v>
      </c>
      <c r="D49" s="4"/>
      <c r="E49" s="4"/>
      <c r="F49" s="4"/>
      <c r="G49" s="4"/>
      <c r="H49" t="s">
        <v>113</v>
      </c>
      <c r="I49" s="3">
        <v>1</v>
      </c>
      <c r="J49" s="7"/>
      <c r="K49" s="7"/>
      <c r="L49" s="8" t="s">
        <v>24</v>
      </c>
      <c r="M49" s="8" t="s">
        <v>25</v>
      </c>
    </row>
    <row r="50" spans="1:13">
      <c r="A50" s="3" t="str">
        <f t="shared" si="6"/>
        <v>Kenya-worker</v>
      </c>
      <c r="B50" s="3" t="s">
        <v>36</v>
      </c>
      <c r="C50" s="3" t="s">
        <v>35</v>
      </c>
      <c r="D50" s="4"/>
      <c r="E50" s="4"/>
      <c r="F50" s="4"/>
      <c r="G50" s="4"/>
      <c r="H50" t="s">
        <v>109</v>
      </c>
      <c r="I50" s="3">
        <v>1</v>
      </c>
      <c r="J50" s="8"/>
      <c r="K50" s="8"/>
      <c r="L50" s="8" t="s">
        <v>24</v>
      </c>
      <c r="M50" s="8" t="s">
        <v>55</v>
      </c>
    </row>
    <row r="51" spans="1:13">
      <c r="A51" s="3" t="str">
        <f t="shared" si="6"/>
        <v>Kenya-worker</v>
      </c>
      <c r="B51" s="3" t="s">
        <v>36</v>
      </c>
      <c r="C51" s="3" t="s">
        <v>35</v>
      </c>
      <c r="D51" s="4"/>
      <c r="E51" s="4"/>
      <c r="F51" s="4"/>
      <c r="G51" s="4"/>
      <c r="H51" t="s">
        <v>232</v>
      </c>
      <c r="I51" s="3">
        <v>1</v>
      </c>
      <c r="J51" s="7"/>
      <c r="K51" s="3"/>
      <c r="L51" s="8" t="s">
        <v>199</v>
      </c>
      <c r="M51" s="8" t="s">
        <v>200</v>
      </c>
    </row>
    <row r="52" spans="1:13">
      <c r="A52" s="3" t="str">
        <f t="shared" si="6"/>
        <v>Kenya-worker</v>
      </c>
      <c r="B52" s="3" t="s">
        <v>36</v>
      </c>
      <c r="C52" s="3" t="s">
        <v>35</v>
      </c>
      <c r="D52" s="4"/>
      <c r="E52" s="4"/>
      <c r="F52" s="4"/>
      <c r="G52" s="4"/>
      <c r="H52" t="s">
        <v>108</v>
      </c>
      <c r="I52" s="8">
        <v>1</v>
      </c>
      <c r="J52" s="7"/>
      <c r="K52" s="7"/>
      <c r="L52" s="8" t="s">
        <v>199</v>
      </c>
      <c r="M52" s="8" t="s">
        <v>200</v>
      </c>
    </row>
    <row r="53" spans="1:13">
      <c r="A53" s="3" t="str">
        <f t="shared" si="6"/>
        <v>Kenya-worker</v>
      </c>
      <c r="B53" s="3" t="s">
        <v>36</v>
      </c>
      <c r="C53" s="3" t="s">
        <v>35</v>
      </c>
      <c r="D53" s="4"/>
      <c r="E53" s="4"/>
      <c r="F53" s="4"/>
      <c r="G53" s="4"/>
      <c r="H53" t="s">
        <v>99</v>
      </c>
      <c r="I53" s="3">
        <v>1</v>
      </c>
      <c r="J53" s="7"/>
      <c r="K53" s="7"/>
      <c r="L53" s="8" t="s">
        <v>199</v>
      </c>
      <c r="M53" s="8" t="s">
        <v>200</v>
      </c>
    </row>
    <row r="54" spans="1:13">
      <c r="A54" s="3" t="str">
        <f t="shared" si="6"/>
        <v>Kenya-worker</v>
      </c>
      <c r="B54" s="3" t="s">
        <v>36</v>
      </c>
      <c r="C54" s="3" t="s">
        <v>35</v>
      </c>
      <c r="D54" s="4"/>
      <c r="E54" s="4"/>
      <c r="F54" s="4"/>
      <c r="G54" s="4"/>
      <c r="H54" t="s">
        <v>98</v>
      </c>
      <c r="I54" s="3" t="s">
        <v>217</v>
      </c>
      <c r="J54" s="8" t="s">
        <v>31</v>
      </c>
      <c r="K54" s="8" t="s">
        <v>32</v>
      </c>
      <c r="L54" s="8"/>
      <c r="M54" s="8"/>
    </row>
    <row r="55" spans="1:13">
      <c r="A55" s="3" t="str">
        <f t="shared" si="6"/>
        <v>Kenya-worker</v>
      </c>
      <c r="B55" s="3" t="s">
        <v>36</v>
      </c>
      <c r="C55" s="3" t="s">
        <v>35</v>
      </c>
      <c r="D55" s="4"/>
      <c r="E55" s="4"/>
      <c r="F55" s="4"/>
      <c r="G55" s="4"/>
      <c r="H55" t="s">
        <v>94</v>
      </c>
      <c r="I55" s="3">
        <v>1</v>
      </c>
      <c r="J55" s="7"/>
      <c r="K55" s="7"/>
      <c r="L55" s="8" t="s">
        <v>199</v>
      </c>
      <c r="M55" s="8" t="s">
        <v>200</v>
      </c>
    </row>
    <row r="56" spans="1:13">
      <c r="A56" s="3" t="str">
        <f t="shared" si="6"/>
        <v>Kenya-worker</v>
      </c>
      <c r="B56" s="3" t="s">
        <v>36</v>
      </c>
      <c r="C56" s="3" t="s">
        <v>35</v>
      </c>
      <c r="D56" s="4"/>
      <c r="E56" s="4"/>
      <c r="F56" s="4"/>
      <c r="G56" s="4"/>
      <c r="H56" s="3" t="s">
        <v>38</v>
      </c>
      <c r="I56" s="3">
        <v>1</v>
      </c>
      <c r="J56" s="7"/>
      <c r="K56" s="7"/>
      <c r="L56" s="8" t="s">
        <v>24</v>
      </c>
      <c r="M56" s="8" t="s">
        <v>25</v>
      </c>
    </row>
    <row r="57" spans="1:13">
      <c r="A57" s="3" t="str">
        <f t="shared" si="6"/>
        <v>Kenya-worker</v>
      </c>
      <c r="B57" s="3" t="s">
        <v>36</v>
      </c>
      <c r="C57" s="3" t="s">
        <v>35</v>
      </c>
      <c r="D57" s="4"/>
      <c r="E57" s="4"/>
      <c r="F57" s="4"/>
      <c r="G57" s="4"/>
      <c r="H57" t="s">
        <v>252</v>
      </c>
      <c r="I57" s="3">
        <v>1</v>
      </c>
      <c r="J57" s="8"/>
      <c r="K57" s="8"/>
      <c r="L57" s="8" t="s">
        <v>199</v>
      </c>
      <c r="M57" s="8" t="s">
        <v>200</v>
      </c>
    </row>
    <row r="58" spans="1:13">
      <c r="A58" s="3" t="str">
        <f t="shared" si="6"/>
        <v>Kenya-worker</v>
      </c>
      <c r="B58" s="3" t="s">
        <v>36</v>
      </c>
      <c r="C58" s="3" t="s">
        <v>35</v>
      </c>
      <c r="D58" s="4"/>
      <c r="E58" s="4"/>
      <c r="F58" s="4"/>
      <c r="G58" s="4"/>
      <c r="H58" t="s">
        <v>47</v>
      </c>
      <c r="I58" s="3">
        <v>1</v>
      </c>
      <c r="J58" s="7"/>
      <c r="K58" s="7"/>
      <c r="L58" s="8" t="s">
        <v>24</v>
      </c>
      <c r="M58" s="8" t="s">
        <v>55</v>
      </c>
    </row>
    <row r="61" spans="1:13">
      <c r="G61" s="1"/>
      <c r="H61" s="1"/>
    </row>
    <row r="62" spans="1:13">
      <c r="G62" s="1"/>
      <c r="H62" s="1"/>
    </row>
    <row r="63" spans="1:13">
      <c r="G63" s="1"/>
      <c r="H63" s="1"/>
      <c r="I63">
        <v>1</v>
      </c>
      <c r="J63" t="s">
        <v>31</v>
      </c>
      <c r="K63" s="8" t="s">
        <v>48</v>
      </c>
      <c r="L63" s="8" t="s">
        <v>24</v>
      </c>
    </row>
    <row r="64" spans="1:13">
      <c r="G64" s="1"/>
      <c r="H64" s="1"/>
      <c r="I64" s="9" t="s">
        <v>217</v>
      </c>
      <c r="K64" t="s">
        <v>32</v>
      </c>
      <c r="L64" s="8" t="s">
        <v>199</v>
      </c>
    </row>
    <row r="65" spans="7:8">
      <c r="G65" s="1"/>
      <c r="H65" s="1"/>
    </row>
    <row r="66" spans="7:8">
      <c r="G66" s="1"/>
      <c r="H66" s="1"/>
    </row>
    <row r="67" spans="7:8">
      <c r="G67" s="1"/>
      <c r="H67" s="1"/>
    </row>
    <row r="68" spans="7:8">
      <c r="G68" s="1"/>
      <c r="H68" s="1"/>
    </row>
    <row r="69" spans="7:8">
      <c r="G69" s="1"/>
      <c r="H69" s="1"/>
    </row>
    <row r="70" spans="7:8">
      <c r="G70" s="1"/>
      <c r="H70" s="1"/>
    </row>
    <row r="71" spans="7:8">
      <c r="G71" s="1"/>
      <c r="H71" s="1"/>
    </row>
    <row r="72" spans="7:8">
      <c r="G72" s="1"/>
      <c r="H72" s="1"/>
    </row>
    <row r="73" spans="7:8">
      <c r="G73" s="1"/>
      <c r="H73" s="1"/>
    </row>
    <row r="74" spans="7:8">
      <c r="G74" s="1"/>
      <c r="H74" s="1"/>
    </row>
    <row r="75" spans="7:8">
      <c r="G75" s="1"/>
      <c r="H75" s="1"/>
    </row>
    <row r="76" spans="7:8">
      <c r="G76" s="1"/>
      <c r="H76" s="1"/>
    </row>
    <row r="77" spans="7:8">
      <c r="G77" s="1"/>
      <c r="H77" s="1"/>
    </row>
    <row r="78" spans="7:8">
      <c r="G78" s="1"/>
      <c r="H78" s="1"/>
    </row>
    <row r="79" spans="7:8">
      <c r="G79" s="1"/>
      <c r="H79" s="1"/>
    </row>
    <row r="80" spans="7:8">
      <c r="G80" s="1"/>
      <c r="H80" s="1"/>
    </row>
    <row r="81" spans="7:8">
      <c r="G81" s="1"/>
      <c r="H81" s="1"/>
    </row>
    <row r="82" spans="7:8">
      <c r="G82" s="1"/>
      <c r="H82" s="1"/>
    </row>
    <row r="83" spans="7:8">
      <c r="G83" s="1"/>
      <c r="H83" s="1"/>
    </row>
    <row r="84" spans="7:8">
      <c r="G84" s="1"/>
      <c r="H84" s="1"/>
    </row>
    <row r="85" spans="7:8">
      <c r="G85" s="1"/>
      <c r="H85" s="1"/>
    </row>
    <row r="86" spans="7:8">
      <c r="G86" s="1"/>
      <c r="H86" s="1"/>
    </row>
    <row r="87" spans="7:8">
      <c r="G87" s="1"/>
      <c r="H87" s="1"/>
    </row>
    <row r="88" spans="7:8">
      <c r="G88" s="1"/>
      <c r="H88" s="1"/>
    </row>
    <row r="89" spans="7:8">
      <c r="G89" s="1"/>
      <c r="H89" s="1"/>
    </row>
    <row r="90" spans="7:8">
      <c r="G90" s="1"/>
      <c r="H90" s="1"/>
    </row>
    <row r="91" spans="7:8">
      <c r="G91" s="1"/>
      <c r="H91" s="1"/>
    </row>
    <row r="92" spans="7:8">
      <c r="G92" s="1"/>
      <c r="H92" s="1"/>
    </row>
    <row r="93" spans="7:8">
      <c r="G93" s="1"/>
      <c r="H93" s="1"/>
    </row>
    <row r="94" spans="7:8">
      <c r="G94" s="1"/>
      <c r="H94" s="1"/>
    </row>
    <row r="95" spans="7:8">
      <c r="G95" s="1"/>
      <c r="H95" s="1"/>
    </row>
    <row r="96" spans="7:8">
      <c r="G96" s="1"/>
      <c r="H96" s="1"/>
    </row>
    <row r="97" spans="7:8">
      <c r="G97" s="1"/>
      <c r="H97" s="1"/>
    </row>
    <row r="98" spans="7:8">
      <c r="G98" s="1"/>
      <c r="H98" s="1"/>
    </row>
    <row r="99" spans="7:8">
      <c r="G99" s="1"/>
      <c r="H99" s="1"/>
    </row>
    <row r="100" spans="7:8">
      <c r="G100" s="1"/>
      <c r="H100" s="1"/>
    </row>
    <row r="101" spans="7:8">
      <c r="G101" s="1"/>
      <c r="H101" s="1"/>
    </row>
    <row r="102" spans="7:8">
      <c r="G102" s="1"/>
      <c r="H102" s="1"/>
    </row>
    <row r="103" spans="7:8">
      <c r="G103" s="1"/>
      <c r="H103" s="1"/>
    </row>
    <row r="104" spans="7:8">
      <c r="G104" s="1"/>
      <c r="H104" s="1"/>
    </row>
    <row r="105" spans="7:8">
      <c r="G105" s="1"/>
      <c r="H105" s="1"/>
    </row>
    <row r="106" spans="7:8">
      <c r="G106" s="1"/>
      <c r="H106" s="1"/>
    </row>
    <row r="107" spans="7:8">
      <c r="G107" s="1"/>
      <c r="H107" s="1"/>
    </row>
    <row r="108" spans="7:8">
      <c r="G108" s="1"/>
      <c r="H108" s="1"/>
    </row>
    <row r="109" spans="7:8">
      <c r="G109" s="1"/>
      <c r="H109" s="1"/>
    </row>
    <row r="110" spans="7:8">
      <c r="G110" s="1"/>
      <c r="H110" s="1"/>
    </row>
    <row r="111" spans="7:8">
      <c r="G111" s="1"/>
      <c r="H111" s="1"/>
    </row>
    <row r="112" spans="7:8">
      <c r="G112" s="1"/>
      <c r="H112" s="10"/>
    </row>
    <row r="113" spans="7:8">
      <c r="G113" s="1"/>
      <c r="H113" s="1"/>
    </row>
    <row r="114" spans="7:8">
      <c r="G114" s="1"/>
      <c r="H114" s="1"/>
    </row>
    <row r="115" spans="7:8">
      <c r="G115" s="1"/>
      <c r="H115" s="1"/>
    </row>
    <row r="116" spans="7:8">
      <c r="G116" s="1"/>
      <c r="H116" s="1"/>
    </row>
    <row r="117" spans="7:8">
      <c r="G117" s="1"/>
      <c r="H117" s="1"/>
    </row>
    <row r="118" spans="7:8">
      <c r="G118" s="1"/>
      <c r="H118" s="1"/>
    </row>
    <row r="119" spans="7:8">
      <c r="G119" s="1"/>
      <c r="H119" s="1"/>
    </row>
    <row r="120" spans="7:8">
      <c r="G120" s="1"/>
      <c r="H120" s="1"/>
    </row>
    <row r="121" spans="7:8">
      <c r="G121" s="1"/>
      <c r="H121" s="1"/>
    </row>
    <row r="122" spans="7:8">
      <c r="G122" s="1"/>
      <c r="H122" s="1"/>
    </row>
    <row r="123" spans="7:8">
      <c r="G123" s="1"/>
      <c r="H123" s="1"/>
    </row>
    <row r="124" spans="7:8">
      <c r="G124" s="1"/>
      <c r="H124" s="1"/>
    </row>
    <row r="125" spans="7:8">
      <c r="G125" s="1"/>
      <c r="H125" s="1"/>
    </row>
    <row r="126" spans="7:8">
      <c r="G126" s="1"/>
      <c r="H126" s="1"/>
    </row>
    <row r="127" spans="7:8">
      <c r="G127" s="1"/>
      <c r="H127" s="1"/>
    </row>
    <row r="128" spans="7:8">
      <c r="G128" s="1"/>
      <c r="H128" s="1"/>
    </row>
    <row r="129" spans="7:8">
      <c r="G129" s="1"/>
      <c r="H129" s="1"/>
    </row>
    <row r="130" spans="7:8">
      <c r="G130" s="1"/>
      <c r="H130" s="1"/>
    </row>
    <row r="131" spans="7:8">
      <c r="G131" s="1"/>
      <c r="H131" s="1"/>
    </row>
    <row r="132" spans="7:8">
      <c r="G132" s="1"/>
      <c r="H132" s="1"/>
    </row>
    <row r="133" spans="7:8">
      <c r="G133" s="1"/>
      <c r="H133" s="1"/>
    </row>
    <row r="134" spans="7:8">
      <c r="G134" s="1"/>
      <c r="H134" s="1"/>
    </row>
    <row r="135" spans="7:8">
      <c r="G135" s="1"/>
      <c r="H135" s="1"/>
    </row>
    <row r="136" spans="7:8">
      <c r="G136" s="1"/>
      <c r="H136" s="1"/>
    </row>
    <row r="137" spans="7:8">
      <c r="G137" s="1"/>
      <c r="H137" s="1"/>
    </row>
    <row r="138" spans="7:8">
      <c r="G138" s="1"/>
      <c r="H138" s="1"/>
    </row>
    <row r="139" spans="7:8">
      <c r="G139" s="1"/>
      <c r="H139" s="1"/>
    </row>
    <row r="140" spans="7:8">
      <c r="G140" s="1"/>
      <c r="H140" s="1"/>
    </row>
    <row r="141" spans="7:8">
      <c r="G141" s="1"/>
      <c r="H141" s="1"/>
    </row>
    <row r="142" spans="7:8">
      <c r="G142" s="1"/>
      <c r="H142" s="1"/>
    </row>
    <row r="143" spans="7:8">
      <c r="G143" s="1"/>
      <c r="H143" s="1"/>
    </row>
    <row r="144" spans="7:8">
      <c r="G144" s="1"/>
      <c r="H144" s="1"/>
    </row>
    <row r="145" spans="7:8">
      <c r="G145" s="1"/>
      <c r="H145" s="1"/>
    </row>
    <row r="146" spans="7:8">
      <c r="G146" s="1"/>
      <c r="H146" s="1"/>
    </row>
    <row r="147" spans="7:8">
      <c r="G147" s="1"/>
      <c r="H147" s="1"/>
    </row>
    <row r="148" spans="7:8">
      <c r="G148" s="1"/>
      <c r="H148" s="1"/>
    </row>
    <row r="149" spans="7:8">
      <c r="G149" s="1"/>
      <c r="H149" s="1"/>
    </row>
    <row r="150" spans="7:8">
      <c r="G150" s="1"/>
      <c r="H150" s="1"/>
    </row>
    <row r="151" spans="7:8">
      <c r="G151" s="1"/>
      <c r="H151" s="1"/>
    </row>
    <row r="152" spans="7:8">
      <c r="G152" s="1"/>
      <c r="H152" s="1"/>
    </row>
    <row r="153" spans="7:8">
      <c r="G153" s="1"/>
      <c r="H153" s="1"/>
    </row>
    <row r="154" spans="7:8">
      <c r="G154" s="1"/>
      <c r="H154" s="1"/>
    </row>
    <row r="155" spans="7:8">
      <c r="G155" s="1"/>
      <c r="H155" s="1"/>
    </row>
    <row r="156" spans="7:8">
      <c r="G156" s="1"/>
      <c r="H156" s="1"/>
    </row>
    <row r="157" spans="7:8">
      <c r="G157" s="1"/>
      <c r="H157" s="1"/>
    </row>
    <row r="158" spans="7:8">
      <c r="G158" s="1"/>
      <c r="H158" s="1"/>
    </row>
    <row r="159" spans="7:8">
      <c r="G159" s="1"/>
      <c r="H159" s="1"/>
    </row>
    <row r="160" spans="7:8">
      <c r="G160" s="1"/>
      <c r="H160" s="1"/>
    </row>
    <row r="161" spans="7:8">
      <c r="G161" s="1"/>
      <c r="H161" s="1"/>
    </row>
    <row r="162" spans="7:8">
      <c r="G162" s="1"/>
      <c r="H162" s="1"/>
    </row>
    <row r="163" spans="7:8">
      <c r="G163" s="1"/>
      <c r="H163" s="1"/>
    </row>
    <row r="164" spans="7:8">
      <c r="G164" s="1"/>
      <c r="H164" s="1"/>
    </row>
    <row r="165" spans="7:8">
      <c r="G165" s="1"/>
      <c r="H165" s="1"/>
    </row>
    <row r="166" spans="7:8">
      <c r="G166" s="1"/>
      <c r="H166" s="1"/>
    </row>
    <row r="167" spans="7:8">
      <c r="G167" s="1"/>
      <c r="H167" s="1"/>
    </row>
    <row r="168" spans="7:8">
      <c r="G168" s="1"/>
      <c r="H168" s="1"/>
    </row>
    <row r="169" spans="7:8">
      <c r="G169" s="1"/>
      <c r="H169" s="1"/>
    </row>
    <row r="170" spans="7:8">
      <c r="G170" s="1"/>
      <c r="H170" s="1"/>
    </row>
    <row r="171" spans="7:8">
      <c r="G171" s="1"/>
      <c r="H171" s="1"/>
    </row>
    <row r="172" spans="7:8">
      <c r="G172" s="1"/>
      <c r="H172" s="1"/>
    </row>
    <row r="173" spans="7:8">
      <c r="G173" s="1"/>
      <c r="H173" s="1"/>
    </row>
    <row r="174" spans="7:8">
      <c r="G174" s="1"/>
      <c r="H174" s="1"/>
    </row>
    <row r="175" spans="7:8">
      <c r="G175" s="1"/>
      <c r="H175" s="1"/>
    </row>
    <row r="176" spans="7:8">
      <c r="G176" s="1"/>
      <c r="H176" s="1"/>
    </row>
    <row r="177" spans="7:8">
      <c r="G177" s="1"/>
      <c r="H177" s="1"/>
    </row>
    <row r="178" spans="7:8">
      <c r="G178" s="1"/>
      <c r="H178" s="1"/>
    </row>
    <row r="179" spans="7:8">
      <c r="G179" s="1"/>
      <c r="H179" s="1"/>
    </row>
    <row r="180" spans="7:8">
      <c r="G180" s="1"/>
      <c r="H180" s="1"/>
    </row>
    <row r="181" spans="7:8">
      <c r="G181" s="1"/>
      <c r="H181" s="1"/>
    </row>
    <row r="182" spans="7:8">
      <c r="G182" s="1"/>
      <c r="H182" s="1"/>
    </row>
    <row r="183" spans="7:8">
      <c r="G183" s="1"/>
      <c r="H183" s="1"/>
    </row>
    <row r="184" spans="7:8">
      <c r="G184" s="1"/>
      <c r="H184" s="1"/>
    </row>
    <row r="185" spans="7:8">
      <c r="G185" s="1"/>
      <c r="H185" s="1"/>
    </row>
    <row r="186" spans="7:8">
      <c r="G186" s="1"/>
      <c r="H186" s="1"/>
    </row>
    <row r="187" spans="7:8">
      <c r="G187" s="1"/>
      <c r="H187" s="1"/>
    </row>
    <row r="188" spans="7:8">
      <c r="G188" s="1"/>
      <c r="H188" s="1"/>
    </row>
    <row r="189" spans="7:8">
      <c r="G189" s="1"/>
      <c r="H189" s="1"/>
    </row>
    <row r="190" spans="7:8">
      <c r="G190" s="1"/>
      <c r="H190" s="1"/>
    </row>
    <row r="191" spans="7:8">
      <c r="G191" s="1"/>
      <c r="H191" s="1"/>
    </row>
    <row r="192" spans="7:8">
      <c r="G192" s="1"/>
      <c r="H192" s="1"/>
    </row>
    <row r="193" spans="7:8">
      <c r="G193" s="1"/>
      <c r="H193" s="1"/>
    </row>
    <row r="194" spans="7:8">
      <c r="G194" s="1"/>
      <c r="H194" s="1"/>
    </row>
    <row r="195" spans="7:8">
      <c r="G195" s="1"/>
      <c r="H195" s="1"/>
    </row>
    <row r="196" spans="7:8">
      <c r="G196" s="1"/>
      <c r="H196" s="1"/>
    </row>
    <row r="197" spans="7:8">
      <c r="G197" s="1"/>
      <c r="H197" s="1"/>
    </row>
    <row r="198" spans="7:8">
      <c r="G198" s="1"/>
      <c r="H198" s="1"/>
    </row>
    <row r="199" spans="7:8">
      <c r="G199" s="1"/>
      <c r="H199" s="1"/>
    </row>
    <row r="200" spans="7:8">
      <c r="G200" s="1"/>
      <c r="H200" s="1"/>
    </row>
    <row r="201" spans="7:8">
      <c r="G201" s="1"/>
      <c r="H201" s="1"/>
    </row>
    <row r="202" spans="7:8">
      <c r="G202" s="1"/>
      <c r="H202" s="1"/>
    </row>
    <row r="203" spans="7:8">
      <c r="G203" s="1"/>
      <c r="H203" s="1"/>
    </row>
    <row r="204" spans="7:8">
      <c r="G204" s="1"/>
      <c r="H204" s="1"/>
    </row>
    <row r="205" spans="7:8">
      <c r="G205" s="1"/>
      <c r="H205" s="1"/>
    </row>
    <row r="206" spans="7:8">
      <c r="G206" s="1"/>
      <c r="H206" s="1"/>
    </row>
    <row r="207" spans="7:8">
      <c r="G207" s="1"/>
      <c r="H207" s="1"/>
    </row>
    <row r="208" spans="7:8">
      <c r="G208" s="1"/>
      <c r="H208" s="1"/>
    </row>
    <row r="209" spans="7:8">
      <c r="G209" s="1"/>
      <c r="H209" s="1"/>
    </row>
    <row r="210" spans="7:8">
      <c r="G210" s="1"/>
      <c r="H210" s="1"/>
    </row>
    <row r="211" spans="7:8">
      <c r="G211" s="1"/>
      <c r="H211" s="1"/>
    </row>
    <row r="212" spans="7:8">
      <c r="G212" s="1"/>
      <c r="H212" s="1"/>
    </row>
    <row r="213" spans="7:8">
      <c r="G213" s="1"/>
      <c r="H213" s="1"/>
    </row>
    <row r="214" spans="7:8">
      <c r="G214" s="1"/>
      <c r="H214" s="1"/>
    </row>
    <row r="215" spans="7:8">
      <c r="G215" s="1"/>
      <c r="H215" s="1"/>
    </row>
    <row r="216" spans="7:8">
      <c r="G216" s="1"/>
      <c r="H216" s="1"/>
    </row>
    <row r="217" spans="7:8">
      <c r="G217" s="1"/>
      <c r="H217" s="1"/>
    </row>
    <row r="218" spans="7:8">
      <c r="G218" s="1"/>
      <c r="H218" s="1"/>
    </row>
    <row r="219" spans="7:8">
      <c r="G219" s="1"/>
      <c r="H219" s="1"/>
    </row>
    <row r="220" spans="7:8">
      <c r="G220" s="1"/>
      <c r="H220" s="1"/>
    </row>
    <row r="221" spans="7:8">
      <c r="G221" s="1"/>
      <c r="H221" s="1"/>
    </row>
    <row r="222" spans="7:8">
      <c r="G222" s="1"/>
      <c r="H222" s="1"/>
    </row>
    <row r="223" spans="7:8">
      <c r="G223" s="1"/>
      <c r="H223" s="1"/>
    </row>
    <row r="224" spans="7:8">
      <c r="G224" s="1"/>
      <c r="H224" s="1"/>
    </row>
    <row r="225" spans="7:8">
      <c r="G225" s="1"/>
      <c r="H225" s="1"/>
    </row>
    <row r="226" spans="7:8">
      <c r="G226" s="1"/>
      <c r="H226" s="1"/>
    </row>
    <row r="227" spans="7:8">
      <c r="G227" s="1"/>
      <c r="H227" s="1"/>
    </row>
    <row r="228" spans="7:8">
      <c r="G228" s="1"/>
      <c r="H228" s="1"/>
    </row>
    <row r="229" spans="7:8">
      <c r="G229" s="1"/>
      <c r="H229" s="1"/>
    </row>
    <row r="230" spans="7:8">
      <c r="G230" s="1"/>
      <c r="H230" s="1"/>
    </row>
    <row r="231" spans="7:8">
      <c r="G231" s="1"/>
      <c r="H231" s="1"/>
    </row>
    <row r="232" spans="7:8">
      <c r="G232" s="1"/>
      <c r="H232" s="1"/>
    </row>
    <row r="233" spans="7:8">
      <c r="G233" s="1"/>
      <c r="H233" s="1"/>
    </row>
    <row r="234" spans="7:8">
      <c r="G234" s="1"/>
      <c r="H234" s="1"/>
    </row>
    <row r="235" spans="7:8">
      <c r="G235" s="1"/>
      <c r="H235" s="1"/>
    </row>
    <row r="236" spans="7:8">
      <c r="G236" s="1"/>
      <c r="H236" s="1"/>
    </row>
    <row r="237" spans="7:8">
      <c r="G237" s="1"/>
      <c r="H237" s="1"/>
    </row>
    <row r="238" spans="7:8">
      <c r="G238" s="1"/>
      <c r="H238" s="1"/>
    </row>
    <row r="239" spans="7:8">
      <c r="G239" s="1"/>
      <c r="H239" s="1"/>
    </row>
    <row r="240" spans="7:8">
      <c r="G240" s="1"/>
      <c r="H240" s="1"/>
    </row>
    <row r="241" spans="7:8">
      <c r="G241" s="1"/>
      <c r="H241" s="1"/>
    </row>
    <row r="242" spans="7:8">
      <c r="G242" s="1"/>
      <c r="H242" s="1"/>
    </row>
    <row r="243" spans="7:8">
      <c r="G243" s="1"/>
      <c r="H243" s="1"/>
    </row>
    <row r="244" spans="7:8">
      <c r="G244" s="1"/>
      <c r="H244" s="1"/>
    </row>
    <row r="245" spans="7:8">
      <c r="G245" s="1"/>
      <c r="H245" s="1"/>
    </row>
    <row r="246" spans="7:8">
      <c r="G246" s="1"/>
      <c r="H246" s="1"/>
    </row>
    <row r="247" spans="7:8">
      <c r="G247" s="1"/>
      <c r="H247" s="1"/>
    </row>
    <row r="248" spans="7:8">
      <c r="G248" s="1"/>
      <c r="H248" s="1"/>
    </row>
    <row r="249" spans="7:8">
      <c r="G249" s="1"/>
      <c r="H249" s="1"/>
    </row>
    <row r="250" spans="7:8">
      <c r="G250" s="1"/>
      <c r="H250" s="1"/>
    </row>
    <row r="251" spans="7:8">
      <c r="G251" s="1"/>
      <c r="H251" s="1"/>
    </row>
    <row r="252" spans="7:8">
      <c r="G252" s="1"/>
      <c r="H252" s="1"/>
    </row>
    <row r="253" spans="7:8">
      <c r="G253" s="1"/>
      <c r="H253" s="1"/>
    </row>
    <row r="254" spans="7:8">
      <c r="G254" s="1"/>
      <c r="H254" s="1"/>
    </row>
    <row r="255" spans="7:8">
      <c r="G255" s="1"/>
      <c r="H255" s="1"/>
    </row>
    <row r="256" spans="7:8">
      <c r="G256" s="1"/>
      <c r="H256" s="1"/>
    </row>
    <row r="257" spans="7:8">
      <c r="G257" s="1"/>
      <c r="H257" s="1"/>
    </row>
    <row r="258" spans="7:8">
      <c r="G258" s="1"/>
      <c r="H258" s="1"/>
    </row>
    <row r="259" spans="7:8">
      <c r="G259" s="1"/>
      <c r="H259" s="1"/>
    </row>
    <row r="260" spans="7:8">
      <c r="G260" s="1"/>
      <c r="H260" s="1"/>
    </row>
    <row r="261" spans="7:8">
      <c r="G261" s="1"/>
      <c r="H261" s="1"/>
    </row>
    <row r="262" spans="7:8">
      <c r="G262" s="1"/>
      <c r="H262" s="1"/>
    </row>
    <row r="263" spans="7:8">
      <c r="G263" s="1"/>
      <c r="H263" s="1"/>
    </row>
    <row r="264" spans="7:8">
      <c r="G264" s="1"/>
      <c r="H264" s="1"/>
    </row>
    <row r="265" spans="7:8">
      <c r="G265" s="1"/>
      <c r="H265" s="1"/>
    </row>
    <row r="266" spans="7:8">
      <c r="G266" s="1"/>
      <c r="H266" s="1"/>
    </row>
    <row r="267" spans="7:8">
      <c r="G267" s="1"/>
      <c r="H267" s="1"/>
    </row>
    <row r="268" spans="7:8">
      <c r="G268" s="1"/>
      <c r="H268" s="1"/>
    </row>
    <row r="269" spans="7:8">
      <c r="G269" s="1"/>
      <c r="H269" s="1"/>
    </row>
    <row r="270" spans="7:8">
      <c r="G270" s="1"/>
      <c r="H270" s="1"/>
    </row>
    <row r="271" spans="7:8">
      <c r="G271" s="1"/>
      <c r="H271" s="1"/>
    </row>
    <row r="272" spans="7:8">
      <c r="G272" s="1"/>
      <c r="H272" s="1"/>
    </row>
    <row r="273" spans="7:8">
      <c r="G273" s="1"/>
      <c r="H273" s="1"/>
    </row>
    <row r="274" spans="7:8">
      <c r="G274" s="1"/>
      <c r="H274" s="1"/>
    </row>
    <row r="275" spans="7:8">
      <c r="G275" s="1"/>
      <c r="H275" s="1"/>
    </row>
    <row r="276" spans="7:8">
      <c r="G276" s="1"/>
      <c r="H276" s="1"/>
    </row>
    <row r="277" spans="7:8">
      <c r="G277" s="1"/>
      <c r="H277" s="1"/>
    </row>
    <row r="278" spans="7:8">
      <c r="G278" s="1"/>
      <c r="H278" s="1"/>
    </row>
    <row r="279" spans="7:8">
      <c r="G279" s="1"/>
      <c r="H279" s="1"/>
    </row>
    <row r="280" spans="7:8">
      <c r="G280" s="1"/>
      <c r="H280" s="1"/>
    </row>
    <row r="281" spans="7:8">
      <c r="G281" s="1"/>
      <c r="H281" s="1"/>
    </row>
    <row r="282" spans="7:8">
      <c r="G282" s="1"/>
      <c r="H282" s="1"/>
    </row>
    <row r="283" spans="7:8">
      <c r="G283" s="1"/>
      <c r="H283" s="1"/>
    </row>
    <row r="284" spans="7:8">
      <c r="G284" s="1"/>
      <c r="H284" s="1"/>
    </row>
    <row r="285" spans="7:8">
      <c r="G285" s="1"/>
      <c r="H285" s="1"/>
    </row>
    <row r="286" spans="7:8">
      <c r="G286" s="1"/>
      <c r="H286" s="1"/>
    </row>
    <row r="287" spans="7:8">
      <c r="G287" s="1"/>
      <c r="H287" s="1"/>
    </row>
    <row r="288" spans="7:8">
      <c r="G288" s="1"/>
      <c r="H288" s="1"/>
    </row>
    <row r="289" spans="7:8">
      <c r="G289" s="1"/>
      <c r="H289" s="1"/>
    </row>
    <row r="290" spans="7:8">
      <c r="G290" s="1"/>
      <c r="H290" s="1"/>
    </row>
    <row r="291" spans="7:8">
      <c r="G291" s="1"/>
      <c r="H291" s="1"/>
    </row>
    <row r="292" spans="7:8">
      <c r="G292" s="1"/>
      <c r="H292" s="1"/>
    </row>
    <row r="293" spans="7:8">
      <c r="G293" s="1"/>
      <c r="H293" s="1"/>
    </row>
    <row r="294" spans="7:8">
      <c r="G294" s="1"/>
      <c r="H294" s="1"/>
    </row>
    <row r="295" spans="7:8">
      <c r="G295" s="1"/>
      <c r="H295" s="1"/>
    </row>
    <row r="296" spans="7:8">
      <c r="G296" s="1"/>
      <c r="H296" s="1"/>
    </row>
    <row r="297" spans="7:8">
      <c r="G297" s="1"/>
      <c r="H297" s="1"/>
    </row>
    <row r="298" spans="7:8">
      <c r="G298" s="1"/>
      <c r="H298" s="1"/>
    </row>
    <row r="299" spans="7:8">
      <c r="G299" s="1"/>
      <c r="H299" s="1"/>
    </row>
    <row r="300" spans="7:8">
      <c r="G300" s="1"/>
      <c r="H300" s="1"/>
    </row>
    <row r="301" spans="7:8">
      <c r="G301" s="1"/>
      <c r="H301" s="1"/>
    </row>
    <row r="302" spans="7:8">
      <c r="G302" s="1"/>
      <c r="H302" s="1"/>
    </row>
    <row r="303" spans="7:8">
      <c r="G303" s="1"/>
      <c r="H303" s="1"/>
    </row>
    <row r="304" spans="7:8">
      <c r="G304" s="1"/>
      <c r="H304" s="1"/>
    </row>
    <row r="305" spans="7:8">
      <c r="G305" s="1"/>
      <c r="H305" s="1"/>
    </row>
    <row r="306" spans="7:8">
      <c r="G306" s="1"/>
      <c r="H306" s="1"/>
    </row>
    <row r="307" spans="7:8">
      <c r="G307" s="1"/>
      <c r="H307" s="1"/>
    </row>
    <row r="308" spans="7:8">
      <c r="G308" s="1"/>
      <c r="H308" s="1"/>
    </row>
    <row r="309" spans="7:8">
      <c r="G309" s="1"/>
      <c r="H309" s="1"/>
    </row>
    <row r="310" spans="7:8">
      <c r="G310" s="1"/>
      <c r="H310" s="1"/>
    </row>
    <row r="311" spans="7:8">
      <c r="G311" s="1"/>
      <c r="H311" s="1"/>
    </row>
    <row r="312" spans="7:8">
      <c r="G312" s="1"/>
      <c r="H312" s="1"/>
    </row>
    <row r="313" spans="7:8">
      <c r="G313" s="1"/>
      <c r="H313" s="1"/>
    </row>
    <row r="314" spans="7:8">
      <c r="G314" s="1"/>
      <c r="H314" s="1"/>
    </row>
    <row r="315" spans="7:8">
      <c r="G315" s="1"/>
      <c r="H315" s="1"/>
    </row>
    <row r="316" spans="7:8">
      <c r="G316" s="1"/>
      <c r="H316" s="1"/>
    </row>
    <row r="317" spans="7:8">
      <c r="G317" s="1"/>
      <c r="H317" s="1"/>
    </row>
    <row r="318" spans="7:8">
      <c r="G318" s="1"/>
      <c r="H318" s="1"/>
    </row>
    <row r="319" spans="7:8">
      <c r="G319" s="1"/>
      <c r="H319" s="1"/>
    </row>
    <row r="320" spans="7:8">
      <c r="G320" s="1"/>
      <c r="H320" s="1"/>
    </row>
    <row r="321" spans="7:8">
      <c r="G321" s="1"/>
      <c r="H321" s="1"/>
    </row>
    <row r="322" spans="7:8">
      <c r="G322" s="1"/>
      <c r="H322" s="1"/>
    </row>
    <row r="323" spans="7:8">
      <c r="G323" s="1"/>
      <c r="H323" s="1"/>
    </row>
    <row r="324" spans="7:8">
      <c r="G324" s="1"/>
      <c r="H324" s="1"/>
    </row>
    <row r="325" spans="7:8">
      <c r="G325" s="1"/>
      <c r="H325" s="1"/>
    </row>
    <row r="326" spans="7:8">
      <c r="G326" s="1"/>
      <c r="H326" s="1"/>
    </row>
    <row r="327" spans="7:8">
      <c r="G327" s="1"/>
      <c r="H327" s="1"/>
    </row>
    <row r="328" spans="7:8">
      <c r="G328" s="1"/>
      <c r="H328" s="1"/>
    </row>
    <row r="329" spans="7:8">
      <c r="G329" s="1"/>
      <c r="H329" s="1"/>
    </row>
    <row r="330" spans="7:8">
      <c r="G330" s="1"/>
      <c r="H330" s="1"/>
    </row>
    <row r="331" spans="7:8">
      <c r="G331" s="1"/>
      <c r="H331" s="1"/>
    </row>
    <row r="332" spans="7:8">
      <c r="G332" s="1"/>
      <c r="H332" s="1"/>
    </row>
    <row r="333" spans="7:8">
      <c r="G333" s="1"/>
      <c r="H333" s="1"/>
    </row>
    <row r="334" spans="7:8">
      <c r="G334" s="1"/>
      <c r="H334" s="1"/>
    </row>
    <row r="335" spans="7:8">
      <c r="G335" s="1"/>
      <c r="H335" s="1"/>
    </row>
    <row r="336" spans="7:8">
      <c r="G336" s="1"/>
      <c r="H336" s="1"/>
    </row>
    <row r="337" spans="7:8">
      <c r="G337" s="1"/>
      <c r="H337" s="1"/>
    </row>
    <row r="338" spans="7:8">
      <c r="G338" s="1"/>
      <c r="H338" s="1"/>
    </row>
    <row r="339" spans="7:8">
      <c r="G339" s="1"/>
      <c r="H339" s="1"/>
    </row>
    <row r="340" spans="7:8">
      <c r="G340" s="1"/>
      <c r="H340" s="1"/>
    </row>
    <row r="341" spans="7:8">
      <c r="G341" s="1"/>
      <c r="H341" s="1"/>
    </row>
    <row r="342" spans="7:8">
      <c r="G342" s="1"/>
      <c r="H342" s="1"/>
    </row>
    <row r="343" spans="7:8">
      <c r="G343" s="1"/>
      <c r="H343" s="1"/>
    </row>
    <row r="344" spans="7:8">
      <c r="G344" s="1"/>
      <c r="H344" s="1"/>
    </row>
    <row r="345" spans="7:8">
      <c r="G345" s="1"/>
      <c r="H345" s="1"/>
    </row>
    <row r="346" spans="7:8">
      <c r="G346" s="1"/>
      <c r="H346" s="1"/>
    </row>
    <row r="347" spans="7:8">
      <c r="G347" s="1"/>
      <c r="H347" s="1"/>
    </row>
    <row r="348" spans="7:8">
      <c r="G348" s="1"/>
      <c r="H348" s="1"/>
    </row>
    <row r="349" spans="7:8">
      <c r="G349" s="1"/>
      <c r="H349" s="1"/>
    </row>
    <row r="350" spans="7:8">
      <c r="G350" s="1"/>
      <c r="H350" s="1"/>
    </row>
    <row r="351" spans="7:8">
      <c r="G351" s="1"/>
      <c r="H351" s="1"/>
    </row>
    <row r="352" spans="7:8">
      <c r="G352" s="1"/>
      <c r="H352" s="1"/>
    </row>
    <row r="353" spans="7:8">
      <c r="G353" s="1"/>
      <c r="H353" s="1"/>
    </row>
    <row r="354" spans="7:8">
      <c r="G354" s="1"/>
      <c r="H354" s="1"/>
    </row>
    <row r="355" spans="7:8">
      <c r="G355" s="1"/>
      <c r="H355" s="1"/>
    </row>
    <row r="356" spans="7:8">
      <c r="G356" s="1"/>
      <c r="H356" s="1"/>
    </row>
    <row r="357" spans="7:8">
      <c r="G357" s="1"/>
      <c r="H357" s="1"/>
    </row>
    <row r="358" spans="7:8">
      <c r="G358" s="1"/>
      <c r="H358" s="1"/>
    </row>
    <row r="359" spans="7:8">
      <c r="G359" s="1"/>
      <c r="H359" s="1"/>
    </row>
    <row r="360" spans="7:8">
      <c r="G360" s="1"/>
      <c r="H360" s="1"/>
    </row>
    <row r="361" spans="7:8">
      <c r="G361" s="1"/>
      <c r="H361" s="1"/>
    </row>
    <row r="362" spans="7:8">
      <c r="G362" s="1"/>
      <c r="H362" s="1"/>
    </row>
    <row r="363" spans="7:8">
      <c r="G363" s="1"/>
      <c r="H363" s="1"/>
    </row>
    <row r="364" spans="7:8">
      <c r="G364" s="1"/>
      <c r="H364" s="1"/>
    </row>
    <row r="365" spans="7:8">
      <c r="G365" s="1"/>
      <c r="H365" s="1"/>
    </row>
    <row r="366" spans="7:8">
      <c r="G366" s="1"/>
      <c r="H366" s="1"/>
    </row>
    <row r="367" spans="7:8">
      <c r="G367" s="1"/>
      <c r="H367" s="1"/>
    </row>
    <row r="368" spans="7:8">
      <c r="G368" s="1"/>
      <c r="H368" s="1"/>
    </row>
    <row r="369" spans="7:8">
      <c r="G369" s="1"/>
      <c r="H369" s="1"/>
    </row>
    <row r="370" spans="7:8">
      <c r="G370" s="1"/>
      <c r="H370" s="1"/>
    </row>
    <row r="371" spans="7:8">
      <c r="G371" s="1"/>
      <c r="H371" s="1"/>
    </row>
    <row r="372" spans="7:8">
      <c r="G372" s="1"/>
      <c r="H372" s="1"/>
    </row>
    <row r="373" spans="7:8">
      <c r="G373" s="1"/>
      <c r="H373" s="1"/>
    </row>
    <row r="374" spans="7:8">
      <c r="G374" s="1"/>
      <c r="H374" s="1"/>
    </row>
    <row r="375" spans="7:8">
      <c r="G375" s="1"/>
      <c r="H375" s="1"/>
    </row>
    <row r="376" spans="7:8">
      <c r="G376" s="1"/>
      <c r="H376" s="1"/>
    </row>
  </sheetData>
  <mergeCells count="3">
    <mergeCell ref="I3:M41"/>
    <mergeCell ref="A42:M44"/>
    <mergeCell ref="D45:G58"/>
  </mergeCells>
  <dataValidations count="6">
    <dataValidation allowBlank="1" showInputMessage="1" showErrorMessage="1" promptTitle="注意，此处是初步标签" prompt="注意，此处是初步标签" sqref="G1 G3 G4:H4 G26:H26 G190:H190 G204:H204 G212:H212 G213 G214:H214 G224:H224 H236 G241:H241 G248:H248 G256:H256 G278:H278 G282:H282 G294:H294 G5:G25 G27:G189 G191:G203 G205:G211 G215:G223 G225:G228 G230:G235 G237:G240 G242:G247 G249:G255 G264:G277 G279:G281 G283:G288 G291:G293 G295:G304 G311:G318 G326:G1048576"/>
    <dataValidation allowBlank="1" showInputMessage="1" showErrorMessage="1" promptTitle="注意，这个是研判后标签" prompt="注意，这个是研判后标签" sqref="H1 H3 H56 H213 H258 H295 H5:H25 H27:H41 H59:H189 H191:H203 H205:H211 H215:H223 H225:H235 H237:H240 H242:H247 H249:H255 H264:H277 H279:H281 H283:H288 H291:H293 H297:H298 H300:H303 H311:H318 H326:H1048576"/>
    <dataValidation type="list" allowBlank="1" showInputMessage="1" showErrorMessage="1" sqref="B3:B1048576">
      <formula1>"user,worker,tech,gov"</formula1>
    </dataValidation>
    <dataValidation type="list" allowBlank="1" showInputMessage="1" showErrorMessage="1" sqref="C3:C1048576">
      <formula1>"P.R. China,United States,European Union,Kenya"</formula1>
    </dataValidation>
    <dataValidation type="list" allowBlank="1" showInputMessage="1" showErrorMessage="1" sqref="D3:D41 D59:E1048576">
      <formula1>"DeepSeek Reasoner V3.2,OpenAI ChatGPT 5.4 Pro,Google Gemini 3.1 Pro Preview,Doubao Seed 2.0 Pro"</formula1>
    </dataValidation>
    <dataValidation type="list" allowBlank="1" showInputMessage="1" showErrorMessage="1" sqref="M3:M62 M326:M1048576">
      <formula1>"1(4/4),0.75(3/4),0.6(2/4+votepass),0.4(2/4+votedenied),0.25(1/4)"</formula1>
    </dataValidation>
  </dataValidations>
  <pageMargins left="0.75" right="0.75" top="1" bottom="1" header="0.5" footer="0.5"/>
  <headerFooter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9"/>
  <sheetViews>
    <sheetView zoomScale="85" zoomScaleNormal="85" topLeftCell="E1" workbookViewId="0">
      <pane ySplit="2" topLeftCell="A3" activePane="bottomLeft" state="frozen"/>
      <selection/>
      <selection pane="bottomLeft" activeCell="M71" sqref="M71"/>
    </sheetView>
  </sheetViews>
  <sheetFormatPr defaultColWidth="8.61261261261261" defaultRowHeight="14.1"/>
  <cols>
    <col min="1" max="1" width="20.7117117117117" customWidth="1"/>
    <col min="2" max="2" width="11.7027027027027" customWidth="1"/>
    <col min="3" max="3" width="19.5495495495495" customWidth="1"/>
    <col min="4" max="4" width="25.1621621621622" customWidth="1"/>
    <col min="5" max="5" width="9.46846846846847" customWidth="1"/>
    <col min="6" max="6" width="12.8558558558559" customWidth="1"/>
    <col min="7" max="7" width="30.4144144144144" customWidth="1"/>
    <col min="8" max="8" width="34.0810810810811" customWidth="1"/>
    <col min="9" max="9" width="11.7027027027027" customWidth="1"/>
    <col min="10" max="10" width="13.9369369369369" customWidth="1"/>
    <col min="11" max="11" width="11.7027027027027" customWidth="1"/>
    <col min="12" max="12" width="20.7117117117117" customWidth="1"/>
    <col min="13" max="13" width="17.3243243243243" customWidth="1"/>
  </cols>
  <sheetData>
    <row r="1" spans="1:13">
      <c r="A1" s="3" t="s">
        <v>6</v>
      </c>
      <c r="B1" s="3" t="s">
        <v>266</v>
      </c>
      <c r="C1" s="3" t="s">
        <v>267</v>
      </c>
      <c r="D1" s="3" t="s">
        <v>268</v>
      </c>
      <c r="E1" s="3" t="s">
        <v>497</v>
      </c>
      <c r="F1" s="3" t="s">
        <v>269</v>
      </c>
      <c r="G1" s="3" t="s">
        <v>270</v>
      </c>
      <c r="H1" s="3" t="s">
        <v>271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</row>
    <row r="2" spans="1:13">
      <c r="A2" s="3" t="s">
        <v>272</v>
      </c>
      <c r="B2" s="3" t="s">
        <v>272</v>
      </c>
      <c r="C2" s="3" t="s">
        <v>272</v>
      </c>
      <c r="D2" s="3" t="s">
        <v>272</v>
      </c>
      <c r="E2" s="3"/>
      <c r="F2" s="3" t="str">
        <f>IF(OR(D2="Doubao Seed 2.0 Pro",D2="DeepSeek Reasoner V3.2"),"China","US")</f>
        <v>US</v>
      </c>
      <c r="G2" s="3" t="s">
        <v>272</v>
      </c>
      <c r="H2" s="3" t="s">
        <v>272</v>
      </c>
      <c r="I2" s="3" t="s">
        <v>272</v>
      </c>
      <c r="J2" s="3">
        <f ca="1">RANDBETWEEN(10000,99999)</f>
        <v>30173</v>
      </c>
      <c r="K2" s="3" t="str">
        <f ca="1">IF(MOD(J2,2)=0,"China-backup","US-backup")</f>
        <v>US-backup</v>
      </c>
      <c r="L2" s="3" t="s">
        <v>272</v>
      </c>
      <c r="M2" s="3" t="s">
        <v>272</v>
      </c>
    </row>
    <row r="3" spans="1:13">
      <c r="A3" s="3" t="str">
        <f t="shared" ref="A3:A8" si="0">C3&amp;"-"&amp;B3</f>
        <v>Kenya-user</v>
      </c>
      <c r="B3" s="3" t="s">
        <v>42</v>
      </c>
      <c r="C3" s="3" t="s">
        <v>35</v>
      </c>
      <c r="D3" s="3" t="s">
        <v>273</v>
      </c>
      <c r="E3" s="3" cm="1">
        <f t="array" ref="E3">_xlfn.IFS(D3="Doubao Seed 2.0 Pro",1,D3="Deepseek Reasoner V3.2",2,D3="Google Gemini 3.1 Pro Preview",3,D3="OpenAI ChatGPT 5.4 Pro",4)</f>
        <v>1</v>
      </c>
      <c r="F3" s="3" t="str">
        <f>IF(OR(D3="Doubao Seed 2.0 Pro",D3="DeepSeek Reasoner V3.2"),"China","US")</f>
        <v>China</v>
      </c>
      <c r="G3" s="3" t="s">
        <v>433</v>
      </c>
      <c r="H3" s="3" t="s">
        <v>116</v>
      </c>
      <c r="I3" s="4" t="s">
        <v>197</v>
      </c>
      <c r="J3" s="4"/>
      <c r="K3" s="4"/>
      <c r="L3" s="4"/>
      <c r="M3" s="4"/>
    </row>
    <row r="4" spans="1:13">
      <c r="A4" s="3" t="str">
        <f t="shared" si="0"/>
        <v>Kenya-user</v>
      </c>
      <c r="B4" s="3" t="s">
        <v>42</v>
      </c>
      <c r="C4" s="3" t="s">
        <v>35</v>
      </c>
      <c r="D4" s="3" t="s">
        <v>273</v>
      </c>
      <c r="E4" s="5" cm="1">
        <f t="array" ref="E4">_xlfn.IFS(D4="Doubao Seed 2.0 Pro",1,D4="Deepseek Reasoner V3.2",2,D4="Google Gemini 3.1 Pro Preview",3,D4="OpenAI ChatGPT 5.4 Pro",4)</f>
        <v>1</v>
      </c>
      <c r="F4" s="5" t="str">
        <f t="shared" ref="F4:F22" si="1">IF(OR(D4="Doubao Seed 2.0 Pro",D4="DeepSeek Reasoner V3.2"),"China","US")</f>
        <v>China</v>
      </c>
      <c r="G4" s="3" t="s">
        <v>116</v>
      </c>
      <c r="H4" t="s">
        <v>116</v>
      </c>
      <c r="I4" s="4"/>
      <c r="J4" s="4"/>
      <c r="K4" s="4"/>
      <c r="L4" s="4"/>
      <c r="M4" s="4"/>
    </row>
    <row r="5" spans="1:13">
      <c r="A5" s="3" t="str">
        <f t="shared" si="0"/>
        <v>Kenya-user</v>
      </c>
      <c r="B5" s="3" t="s">
        <v>42</v>
      </c>
      <c r="C5" s="3" t="s">
        <v>35</v>
      </c>
      <c r="D5" s="3" t="s">
        <v>273</v>
      </c>
      <c r="E5" s="3" cm="1">
        <f t="array" ref="E5">_xlfn.IFS(D5="Doubao Seed 2.0 Pro",1,D5="Deepseek Reasoner V3.2",2,D5="Google Gemini 3.1 Pro Preview",3,D5="OpenAI ChatGPT 5.4 Pro",4)</f>
        <v>1</v>
      </c>
      <c r="F5" s="3" t="str">
        <f t="shared" si="1"/>
        <v>China</v>
      </c>
      <c r="G5" s="3" t="s">
        <v>281</v>
      </c>
      <c r="H5" s="3" t="s">
        <v>121</v>
      </c>
      <c r="I5" s="4"/>
      <c r="J5" s="4"/>
      <c r="K5" s="4"/>
      <c r="L5" s="4"/>
      <c r="M5" s="4"/>
    </row>
    <row r="6" spans="1:13">
      <c r="A6" s="3" t="str">
        <f t="shared" si="0"/>
        <v>Kenya-user</v>
      </c>
      <c r="B6" s="3" t="s">
        <v>42</v>
      </c>
      <c r="C6" s="3" t="s">
        <v>35</v>
      </c>
      <c r="D6" s="3" t="s">
        <v>273</v>
      </c>
      <c r="E6" s="3" cm="1">
        <f t="array" ref="E6">_xlfn.IFS(D6="Doubao Seed 2.0 Pro",1,D6="Deepseek Reasoner V3.2",2,D6="Google Gemini 3.1 Pro Preview",3,D6="OpenAI ChatGPT 5.4 Pro",4)</f>
        <v>1</v>
      </c>
      <c r="F6" s="3" t="str">
        <f t="shared" si="1"/>
        <v>China</v>
      </c>
      <c r="G6" s="3" t="s">
        <v>418</v>
      </c>
      <c r="H6" s="3" t="s">
        <v>123</v>
      </c>
      <c r="I6" s="4"/>
      <c r="J6" s="4"/>
      <c r="K6" s="4"/>
      <c r="L6" s="4"/>
      <c r="M6" s="4"/>
    </row>
    <row r="7" spans="1:13">
      <c r="A7" s="3" t="str">
        <f t="shared" si="0"/>
        <v>Kenya-user</v>
      </c>
      <c r="B7" s="3" t="s">
        <v>42</v>
      </c>
      <c r="C7" s="3" t="s">
        <v>35</v>
      </c>
      <c r="D7" s="3" t="s">
        <v>273</v>
      </c>
      <c r="E7" s="3" cm="1">
        <f t="array" ref="E7">_xlfn.IFS(D7="Doubao Seed 2.0 Pro",1,D7="Deepseek Reasoner V3.2",2,D7="Google Gemini 3.1 Pro Preview",3,D7="OpenAI ChatGPT 5.4 Pro",4)</f>
        <v>1</v>
      </c>
      <c r="F7" s="3" t="str">
        <f t="shared" si="1"/>
        <v>China</v>
      </c>
      <c r="G7" s="3" t="s">
        <v>325</v>
      </c>
      <c r="H7" s="3" t="s">
        <v>122</v>
      </c>
      <c r="I7" s="4"/>
      <c r="J7" s="4"/>
      <c r="K7" s="4"/>
      <c r="L7" s="4"/>
      <c r="M7" s="4"/>
    </row>
    <row r="8" spans="1:13">
      <c r="A8" s="3" t="str">
        <f t="shared" si="0"/>
        <v>Kenya-user</v>
      </c>
      <c r="B8" s="3" t="s">
        <v>42</v>
      </c>
      <c r="C8" s="3" t="s">
        <v>35</v>
      </c>
      <c r="D8" s="3" t="s">
        <v>273</v>
      </c>
      <c r="E8" s="3" cm="1">
        <f t="array" ref="E8">_xlfn.IFS(D8="Doubao Seed 2.0 Pro",1,D8="Deepseek Reasoner V3.2",2,D8="Google Gemini 3.1 Pro Preview",3,D8="OpenAI ChatGPT 5.4 Pro",4)</f>
        <v>1</v>
      </c>
      <c r="F8" s="3" t="str">
        <f t="shared" si="1"/>
        <v>China</v>
      </c>
      <c r="G8" s="3" t="s">
        <v>121</v>
      </c>
      <c r="H8" s="3" t="s">
        <v>121</v>
      </c>
      <c r="I8" s="4"/>
      <c r="J8" s="4"/>
      <c r="K8" s="4"/>
      <c r="L8" s="4"/>
      <c r="M8" s="4"/>
    </row>
    <row r="9" spans="1:13">
      <c r="A9" s="3" t="str">
        <f t="shared" ref="A9:A14" si="2">C9&amp;"-"&amp;B9</f>
        <v>Kenya-user</v>
      </c>
      <c r="B9" s="3" t="s">
        <v>42</v>
      </c>
      <c r="C9" s="3" t="s">
        <v>35</v>
      </c>
      <c r="D9" s="3" t="s">
        <v>273</v>
      </c>
      <c r="E9" s="3" cm="1">
        <f t="array" ref="E9">_xlfn.IFS(D9="Doubao Seed 2.0 Pro",1,D9="Deepseek Reasoner V3.2",2,D9="Google Gemini 3.1 Pro Preview",3,D9="OpenAI ChatGPT 5.4 Pro",4)</f>
        <v>1</v>
      </c>
      <c r="F9" s="3" t="str">
        <f t="shared" si="1"/>
        <v>China</v>
      </c>
      <c r="G9" s="3" t="s">
        <v>285</v>
      </c>
      <c r="H9" s="3" t="s">
        <v>113</v>
      </c>
      <c r="I9" s="4"/>
      <c r="J9" s="4"/>
      <c r="K9" s="4"/>
      <c r="L9" s="4"/>
      <c r="M9" s="4"/>
    </row>
    <row r="10" spans="1:13">
      <c r="A10" s="3" t="str">
        <f t="shared" si="2"/>
        <v>Kenya-user</v>
      </c>
      <c r="B10" s="3" t="s">
        <v>42</v>
      </c>
      <c r="C10" s="3" t="s">
        <v>35</v>
      </c>
      <c r="D10" s="3" t="s">
        <v>273</v>
      </c>
      <c r="E10" s="3" cm="1">
        <f t="array" ref="E10">_xlfn.IFS(D10="Doubao Seed 2.0 Pro",1,D10="Deepseek Reasoner V3.2",2,D10="Google Gemini 3.1 Pro Preview",3,D10="OpenAI ChatGPT 5.4 Pro",4)</f>
        <v>1</v>
      </c>
      <c r="F10" s="3" t="str">
        <f t="shared" si="1"/>
        <v>China</v>
      </c>
      <c r="G10" s="3" t="s">
        <v>490</v>
      </c>
      <c r="H10" s="3" t="s">
        <v>100</v>
      </c>
      <c r="I10" s="4"/>
      <c r="J10" s="4"/>
      <c r="K10" s="4"/>
      <c r="L10" s="4"/>
      <c r="M10" s="4"/>
    </row>
    <row r="11" spans="1:13">
      <c r="A11" s="3" t="str">
        <f t="shared" si="2"/>
        <v>Kenya-user</v>
      </c>
      <c r="B11" s="3" t="s">
        <v>42</v>
      </c>
      <c r="C11" s="3" t="s">
        <v>35</v>
      </c>
      <c r="D11" s="3" t="s">
        <v>273</v>
      </c>
      <c r="E11" s="3" cm="1">
        <f t="array" ref="E11">_xlfn.IFS(D11="Doubao Seed 2.0 Pro",1,D11="Deepseek Reasoner V3.2",2,D11="Google Gemini 3.1 Pro Preview",3,D11="OpenAI ChatGPT 5.4 Pro",4)</f>
        <v>1</v>
      </c>
      <c r="F11" s="3" t="str">
        <f t="shared" si="1"/>
        <v>China</v>
      </c>
      <c r="G11" s="3" t="s">
        <v>486</v>
      </c>
      <c r="H11" s="3" t="s">
        <v>116</v>
      </c>
      <c r="I11" s="4"/>
      <c r="J11" s="4"/>
      <c r="K11" s="4"/>
      <c r="L11" s="4"/>
      <c r="M11" s="4"/>
    </row>
    <row r="12" spans="1:13">
      <c r="A12" s="3" t="str">
        <f t="shared" si="2"/>
        <v>Kenya-user</v>
      </c>
      <c r="B12" s="3" t="s">
        <v>42</v>
      </c>
      <c r="C12" s="3" t="s">
        <v>35</v>
      </c>
      <c r="D12" s="3" t="s">
        <v>273</v>
      </c>
      <c r="E12" s="3" cm="1">
        <f t="array" ref="E12">_xlfn.IFS(D12="Doubao Seed 2.0 Pro",1,D12="Deepseek Reasoner V3.2",2,D12="Google Gemini 3.1 Pro Preview",3,D12="OpenAI ChatGPT 5.4 Pro",4)</f>
        <v>1</v>
      </c>
      <c r="F12" s="3" t="str">
        <f t="shared" si="1"/>
        <v>China</v>
      </c>
      <c r="G12" s="3" t="s">
        <v>505</v>
      </c>
      <c r="H12" s="3" t="s">
        <v>116</v>
      </c>
      <c r="I12" s="4"/>
      <c r="J12" s="4"/>
      <c r="K12" s="4"/>
      <c r="L12" s="4"/>
      <c r="M12" s="4"/>
    </row>
    <row r="13" spans="1:13">
      <c r="A13" s="3" t="str">
        <f t="shared" si="2"/>
        <v>Kenya-user</v>
      </c>
      <c r="B13" s="3" t="s">
        <v>42</v>
      </c>
      <c r="C13" s="3" t="s">
        <v>35</v>
      </c>
      <c r="D13" s="3" t="s">
        <v>273</v>
      </c>
      <c r="E13" s="3" cm="1">
        <f t="array" ref="E13">_xlfn.IFS(D13="Doubao Seed 2.0 Pro",1,D13="Deepseek Reasoner V3.2",2,D13="Google Gemini 3.1 Pro Preview",3,D13="OpenAI ChatGPT 5.4 Pro",4)</f>
        <v>1</v>
      </c>
      <c r="F13" s="3" t="str">
        <f t="shared" si="1"/>
        <v>China</v>
      </c>
      <c r="G13" s="3" t="s">
        <v>527</v>
      </c>
      <c r="H13" s="3" t="s">
        <v>38</v>
      </c>
      <c r="I13" s="4"/>
      <c r="J13" s="4"/>
      <c r="K13" s="4"/>
      <c r="L13" s="4"/>
      <c r="M13" s="4"/>
    </row>
    <row r="14" spans="1:13">
      <c r="A14" s="3" t="str">
        <f t="shared" si="2"/>
        <v>Kenya-user</v>
      </c>
      <c r="B14" s="3" t="s">
        <v>42</v>
      </c>
      <c r="C14" s="3" t="s">
        <v>35</v>
      </c>
      <c r="D14" s="3" t="s">
        <v>273</v>
      </c>
      <c r="E14" s="3" cm="1">
        <f t="array" ref="E14">_xlfn.IFS(D14="Doubao Seed 2.0 Pro",1,D14="Deepseek Reasoner V3.2",2,D14="Google Gemini 3.1 Pro Preview",3,D14="OpenAI ChatGPT 5.4 Pro",4)</f>
        <v>1</v>
      </c>
      <c r="F14" s="3" t="str">
        <f t="shared" si="1"/>
        <v>China</v>
      </c>
      <c r="G14" s="3" t="s">
        <v>338</v>
      </c>
      <c r="H14" s="3" t="s">
        <v>117</v>
      </c>
      <c r="I14" s="4"/>
      <c r="J14" s="4"/>
      <c r="K14" s="4"/>
      <c r="L14" s="4"/>
      <c r="M14" s="4"/>
    </row>
    <row r="15" spans="1:13">
      <c r="A15" s="3" t="str">
        <f t="shared" ref="A15:A42" si="3">C15&amp;"-"&amp;B15</f>
        <v>Kenya-user</v>
      </c>
      <c r="B15" s="3" t="s">
        <v>42</v>
      </c>
      <c r="C15" s="3" t="s">
        <v>35</v>
      </c>
      <c r="D15" s="3" t="s">
        <v>297</v>
      </c>
      <c r="E15" s="3" cm="1">
        <f t="array" ref="E15">_xlfn.IFS(D15="Doubao Seed 2.0 Pro",1,D15="Deepseek Reasoner V3.2",2,D15="Google Gemini 3.1 Pro Preview",3,D15="OpenAI ChatGPT 5.4 Pro",4)</f>
        <v>2</v>
      </c>
      <c r="F15" s="3" t="str">
        <f t="shared" si="1"/>
        <v>China</v>
      </c>
      <c r="G15" s="3" t="s">
        <v>278</v>
      </c>
      <c r="H15" s="3" t="s">
        <v>80</v>
      </c>
      <c r="I15" s="4"/>
      <c r="J15" s="4"/>
      <c r="K15" s="4"/>
      <c r="L15" s="4"/>
      <c r="M15" s="4"/>
    </row>
    <row r="16" spans="1:13">
      <c r="A16" s="3" t="str">
        <f t="shared" si="3"/>
        <v>Kenya-user</v>
      </c>
      <c r="B16" s="3" t="s">
        <v>42</v>
      </c>
      <c r="C16" s="3" t="s">
        <v>35</v>
      </c>
      <c r="D16" s="3" t="s">
        <v>297</v>
      </c>
      <c r="E16" s="3" cm="1">
        <f t="array" ref="E16">_xlfn.IFS(D16="Doubao Seed 2.0 Pro",1,D16="Deepseek Reasoner V3.2",2,D16="Google Gemini 3.1 Pro Preview",3,D16="OpenAI ChatGPT 5.4 Pro",4)</f>
        <v>2</v>
      </c>
      <c r="F16" s="3" t="str">
        <f t="shared" si="1"/>
        <v>China</v>
      </c>
      <c r="G16" s="3" t="s">
        <v>433</v>
      </c>
      <c r="H16" s="3" t="s">
        <v>116</v>
      </c>
      <c r="I16" s="4"/>
      <c r="J16" s="4"/>
      <c r="K16" s="4"/>
      <c r="L16" s="4"/>
      <c r="M16" s="4"/>
    </row>
    <row r="17" spans="1:13">
      <c r="A17" s="3" t="str">
        <f t="shared" si="3"/>
        <v>Kenya-user</v>
      </c>
      <c r="B17" s="3" t="s">
        <v>42</v>
      </c>
      <c r="C17" s="3" t="s">
        <v>35</v>
      </c>
      <c r="D17" s="3" t="s">
        <v>297</v>
      </c>
      <c r="E17" s="3" cm="1">
        <f t="array" ref="E17">_xlfn.IFS(D17="Doubao Seed 2.0 Pro",1,D17="Deepseek Reasoner V3.2",2,D17="Google Gemini 3.1 Pro Preview",3,D17="OpenAI ChatGPT 5.4 Pro",4)</f>
        <v>2</v>
      </c>
      <c r="F17" s="3" t="str">
        <f t="shared" si="1"/>
        <v>China</v>
      </c>
      <c r="G17" s="3" t="s">
        <v>116</v>
      </c>
      <c r="H17" s="3" t="s">
        <v>116</v>
      </c>
      <c r="I17" s="4"/>
      <c r="J17" s="4"/>
      <c r="K17" s="4"/>
      <c r="L17" s="4"/>
      <c r="M17" s="4"/>
    </row>
    <row r="18" spans="1:13">
      <c r="A18" s="3" t="str">
        <f t="shared" si="3"/>
        <v>Kenya-user</v>
      </c>
      <c r="B18" s="3" t="s">
        <v>42</v>
      </c>
      <c r="C18" s="3" t="s">
        <v>35</v>
      </c>
      <c r="D18" s="3" t="s">
        <v>297</v>
      </c>
      <c r="E18" s="3" cm="1">
        <f t="array" ref="E18">_xlfn.IFS(D18="Doubao Seed 2.0 Pro",1,D18="Deepseek Reasoner V3.2",2,D18="Google Gemini 3.1 Pro Preview",3,D18="OpenAI ChatGPT 5.4 Pro",4)</f>
        <v>2</v>
      </c>
      <c r="F18" s="3" t="str">
        <f t="shared" si="1"/>
        <v>China</v>
      </c>
      <c r="G18" s="3" t="s">
        <v>116</v>
      </c>
      <c r="H18" s="3" t="s">
        <v>116</v>
      </c>
      <c r="I18" s="4"/>
      <c r="J18" s="4"/>
      <c r="K18" s="4"/>
      <c r="L18" s="4"/>
      <c r="M18" s="4"/>
    </row>
    <row r="19" spans="1:13">
      <c r="A19" s="3" t="str">
        <f t="shared" si="3"/>
        <v>Kenya-user</v>
      </c>
      <c r="B19" s="3" t="s">
        <v>42</v>
      </c>
      <c r="C19" s="3" t="s">
        <v>35</v>
      </c>
      <c r="D19" s="3" t="s">
        <v>297</v>
      </c>
      <c r="E19" s="3" cm="1">
        <f t="array" ref="E19">_xlfn.IFS(D19="Doubao Seed 2.0 Pro",1,D19="Deepseek Reasoner V3.2",2,D19="Google Gemini 3.1 Pro Preview",3,D19="OpenAI ChatGPT 5.4 Pro",4)</f>
        <v>2</v>
      </c>
      <c r="F19" s="3" t="str">
        <f t="shared" si="1"/>
        <v>China</v>
      </c>
      <c r="G19" s="3" t="s">
        <v>505</v>
      </c>
      <c r="H19" s="3" t="s">
        <v>116</v>
      </c>
      <c r="I19" s="4"/>
      <c r="J19" s="4"/>
      <c r="K19" s="4"/>
      <c r="L19" s="4"/>
      <c r="M19" s="4"/>
    </row>
    <row r="20" spans="1:13">
      <c r="A20" s="3" t="str">
        <f t="shared" si="3"/>
        <v>Kenya-user</v>
      </c>
      <c r="B20" s="3" t="s">
        <v>42</v>
      </c>
      <c r="C20" s="3" t="s">
        <v>35</v>
      </c>
      <c r="D20" s="3" t="s">
        <v>297</v>
      </c>
      <c r="E20" s="3" cm="1">
        <f t="array" ref="E20">_xlfn.IFS(D20="Doubao Seed 2.0 Pro",1,D20="Deepseek Reasoner V3.2",2,D20="Google Gemini 3.1 Pro Preview",3,D20="OpenAI ChatGPT 5.4 Pro",4)</f>
        <v>2</v>
      </c>
      <c r="F20" s="3" t="str">
        <f t="shared" si="1"/>
        <v>China</v>
      </c>
      <c r="G20" s="3" t="s">
        <v>418</v>
      </c>
      <c r="H20" s="3" t="s">
        <v>123</v>
      </c>
      <c r="I20" s="4"/>
      <c r="J20" s="4"/>
      <c r="K20" s="4"/>
      <c r="L20" s="4"/>
      <c r="M20" s="4"/>
    </row>
    <row r="21" spans="1:13">
      <c r="A21" s="3" t="str">
        <f t="shared" si="3"/>
        <v>Kenya-user</v>
      </c>
      <c r="B21" s="3" t="s">
        <v>42</v>
      </c>
      <c r="C21" s="3" t="s">
        <v>35</v>
      </c>
      <c r="D21" s="3" t="s">
        <v>297</v>
      </c>
      <c r="E21" s="3" cm="1">
        <f t="array" ref="E21">_xlfn.IFS(D21="Doubao Seed 2.0 Pro",1,D21="Deepseek Reasoner V3.2",2,D21="Google Gemini 3.1 Pro Preview",3,D21="OpenAI ChatGPT 5.4 Pro",4)</f>
        <v>2</v>
      </c>
      <c r="F21" s="3" t="str">
        <f t="shared" si="1"/>
        <v>China</v>
      </c>
      <c r="G21" s="3" t="s">
        <v>500</v>
      </c>
      <c r="H21" s="3" t="s">
        <v>125</v>
      </c>
      <c r="I21" s="4"/>
      <c r="J21" s="4"/>
      <c r="K21" s="4"/>
      <c r="L21" s="4"/>
      <c r="M21" s="4"/>
    </row>
    <row r="22" spans="1:13">
      <c r="A22" s="3" t="str">
        <f t="shared" si="3"/>
        <v>Kenya-user</v>
      </c>
      <c r="B22" s="3" t="s">
        <v>42</v>
      </c>
      <c r="C22" s="3" t="s">
        <v>35</v>
      </c>
      <c r="D22" s="3" t="s">
        <v>297</v>
      </c>
      <c r="E22" s="3" cm="1">
        <f t="array" ref="E22">_xlfn.IFS(D22="Doubao Seed 2.0 Pro",1,D22="Deepseek Reasoner V3.2",2,D22="Google Gemini 3.1 Pro Preview",3,D22="OpenAI ChatGPT 5.4 Pro",4)</f>
        <v>2</v>
      </c>
      <c r="F22" s="3" t="str">
        <f t="shared" si="1"/>
        <v>China</v>
      </c>
      <c r="G22" s="3" t="s">
        <v>121</v>
      </c>
      <c r="H22" s="3" t="s">
        <v>121</v>
      </c>
      <c r="I22" s="4"/>
      <c r="J22" s="4"/>
      <c r="K22" s="4"/>
      <c r="L22" s="4"/>
      <c r="M22" s="4"/>
    </row>
    <row r="23" spans="1:13">
      <c r="A23" s="3" t="str">
        <f t="shared" ref="A23:A33" si="4">C23&amp;"-"&amp;B23</f>
        <v>Kenya-user</v>
      </c>
      <c r="B23" s="3" t="s">
        <v>42</v>
      </c>
      <c r="C23" s="3" t="s">
        <v>35</v>
      </c>
      <c r="D23" s="3" t="s">
        <v>297</v>
      </c>
      <c r="E23" s="3" cm="1">
        <f t="array" ref="E23">_xlfn.IFS(D23="Doubao Seed 2.0 Pro",1,D23="Deepseek Reasoner V3.2",2,D23="Google Gemini 3.1 Pro Preview",3,D23="OpenAI ChatGPT 5.4 Pro",4)</f>
        <v>2</v>
      </c>
      <c r="F23" s="3" t="str">
        <f t="shared" ref="F23:F33" si="5">IF(OR(D23="Doubao Seed 2.0 Pro",D23="DeepSeek Reasoner V3.2"),"China","US")</f>
        <v>China</v>
      </c>
      <c r="G23" s="3" t="s">
        <v>325</v>
      </c>
      <c r="H23" s="3" t="s">
        <v>122</v>
      </c>
      <c r="I23" s="4"/>
      <c r="J23" s="4"/>
      <c r="K23" s="4"/>
      <c r="L23" s="4"/>
      <c r="M23" s="4"/>
    </row>
    <row r="24" spans="1:13">
      <c r="A24" s="3" t="str">
        <f t="shared" si="4"/>
        <v>Kenya-user</v>
      </c>
      <c r="B24" s="3" t="s">
        <v>42</v>
      </c>
      <c r="C24" s="3" t="s">
        <v>35</v>
      </c>
      <c r="D24" s="3" t="s">
        <v>297</v>
      </c>
      <c r="E24" s="3" cm="1">
        <f t="array" ref="E24">_xlfn.IFS(D24="Doubao Seed 2.0 Pro",1,D24="Deepseek Reasoner V3.2",2,D24="Google Gemini 3.1 Pro Preview",3,D24="OpenAI ChatGPT 5.4 Pro",4)</f>
        <v>2</v>
      </c>
      <c r="F24" s="3" t="str">
        <f t="shared" si="5"/>
        <v>China</v>
      </c>
      <c r="G24" s="3" t="s">
        <v>400</v>
      </c>
      <c r="H24" s="3" t="s">
        <v>95</v>
      </c>
      <c r="I24" s="4"/>
      <c r="J24" s="4"/>
      <c r="K24" s="4"/>
      <c r="L24" s="4"/>
      <c r="M24" s="4"/>
    </row>
    <row r="25" spans="1:13">
      <c r="A25" s="3" t="str">
        <f t="shared" si="4"/>
        <v>Kenya-user</v>
      </c>
      <c r="B25" s="3" t="s">
        <v>42</v>
      </c>
      <c r="C25" s="3" t="s">
        <v>35</v>
      </c>
      <c r="D25" s="3" t="s">
        <v>297</v>
      </c>
      <c r="E25" s="3" cm="1">
        <f t="array" ref="E25">_xlfn.IFS(D25="Doubao Seed 2.0 Pro",1,D25="Deepseek Reasoner V3.2",2,D25="Google Gemini 3.1 Pro Preview",3,D25="OpenAI ChatGPT 5.4 Pro",4)</f>
        <v>2</v>
      </c>
      <c r="F25" s="3" t="str">
        <f t="shared" si="5"/>
        <v>China</v>
      </c>
      <c r="G25" s="3" t="s">
        <v>287</v>
      </c>
      <c r="H25" s="3" t="s">
        <v>124</v>
      </c>
      <c r="I25" s="4"/>
      <c r="J25" s="4"/>
      <c r="K25" s="4"/>
      <c r="L25" s="4"/>
      <c r="M25" s="4"/>
    </row>
    <row r="26" spans="1:13">
      <c r="A26" s="3" t="str">
        <f t="shared" si="4"/>
        <v>Kenya-user</v>
      </c>
      <c r="B26" s="3" t="s">
        <v>42</v>
      </c>
      <c r="C26" s="3" t="s">
        <v>35</v>
      </c>
      <c r="D26" s="3" t="s">
        <v>297</v>
      </c>
      <c r="E26" s="3" cm="1">
        <f t="array" ref="E26">_xlfn.IFS(D26="Doubao Seed 2.0 Pro",1,D26="Deepseek Reasoner V3.2",2,D26="Google Gemini 3.1 Pro Preview",3,D26="OpenAI ChatGPT 5.4 Pro",4)</f>
        <v>2</v>
      </c>
      <c r="F26" s="3" t="str">
        <f t="shared" si="5"/>
        <v>China</v>
      </c>
      <c r="G26" s="3" t="s">
        <v>285</v>
      </c>
      <c r="H26" s="3" t="s">
        <v>113</v>
      </c>
      <c r="I26" s="4"/>
      <c r="J26" s="4"/>
      <c r="K26" s="4"/>
      <c r="L26" s="4"/>
      <c r="M26" s="4"/>
    </row>
    <row r="27" spans="1:13">
      <c r="A27" s="3" t="str">
        <f t="shared" si="4"/>
        <v>Kenya-user</v>
      </c>
      <c r="B27" s="3" t="s">
        <v>42</v>
      </c>
      <c r="C27" s="3" t="s">
        <v>35</v>
      </c>
      <c r="D27" s="3" t="s">
        <v>297</v>
      </c>
      <c r="E27" s="3" cm="1">
        <f t="array" ref="E27">_xlfn.IFS(D27="Doubao Seed 2.0 Pro",1,D27="Deepseek Reasoner V3.2",2,D27="Google Gemini 3.1 Pro Preview",3,D27="OpenAI ChatGPT 5.4 Pro",4)</f>
        <v>2</v>
      </c>
      <c r="F27" s="3" t="str">
        <f t="shared" si="5"/>
        <v>China</v>
      </c>
      <c r="G27" s="3" t="s">
        <v>338</v>
      </c>
      <c r="H27" s="3" t="s">
        <v>117</v>
      </c>
      <c r="I27" s="4"/>
      <c r="J27" s="4"/>
      <c r="K27" s="4"/>
      <c r="L27" s="4"/>
      <c r="M27" s="4"/>
    </row>
    <row r="28" spans="1:13">
      <c r="A28" s="3" t="str">
        <f t="shared" si="4"/>
        <v>Kenya-user</v>
      </c>
      <c r="B28" s="3" t="s">
        <v>42</v>
      </c>
      <c r="C28" s="3" t="s">
        <v>35</v>
      </c>
      <c r="D28" s="3" t="s">
        <v>297</v>
      </c>
      <c r="E28" s="3" cm="1">
        <f t="array" ref="E28">_xlfn.IFS(D28="Doubao Seed 2.0 Pro",1,D28="Deepseek Reasoner V3.2",2,D28="Google Gemini 3.1 Pro Preview",3,D28="OpenAI ChatGPT 5.4 Pro",4)</f>
        <v>2</v>
      </c>
      <c r="F28" s="3" t="str">
        <f t="shared" si="5"/>
        <v>China</v>
      </c>
      <c r="G28" s="3" t="s">
        <v>527</v>
      </c>
      <c r="H28" s="3" t="s">
        <v>38</v>
      </c>
      <c r="I28" s="4"/>
      <c r="J28" s="4"/>
      <c r="K28" s="4"/>
      <c r="L28" s="4"/>
      <c r="M28" s="4"/>
    </row>
    <row r="29" spans="1:13">
      <c r="A29" s="3" t="str">
        <f t="shared" si="4"/>
        <v>Kenya-user</v>
      </c>
      <c r="B29" s="3" t="s">
        <v>42</v>
      </c>
      <c r="C29" s="3" t="s">
        <v>35</v>
      </c>
      <c r="D29" s="3" t="s">
        <v>314</v>
      </c>
      <c r="E29" s="3" cm="1">
        <f t="array" ref="E29">_xlfn.IFS(D29="Doubao Seed 2.0 Pro",1,D29="Deepseek Reasoner V3.2",2,D29="Google Gemini 3.1 Pro Preview",3,D29="OpenAI ChatGPT 5.4 Pro",4)</f>
        <v>3</v>
      </c>
      <c r="F29" s="3" t="str">
        <f t="shared" si="5"/>
        <v>US</v>
      </c>
      <c r="G29" s="3" t="s">
        <v>390</v>
      </c>
      <c r="H29" s="3" t="s">
        <v>124</v>
      </c>
      <c r="I29" s="4"/>
      <c r="J29" s="4"/>
      <c r="K29" s="4"/>
      <c r="L29" s="4"/>
      <c r="M29" s="4"/>
    </row>
    <row r="30" spans="1:13">
      <c r="A30" s="3" t="str">
        <f t="shared" ref="A30:A53" si="6">C30&amp;"-"&amp;B30</f>
        <v>Kenya-user</v>
      </c>
      <c r="B30" s="3" t="s">
        <v>42</v>
      </c>
      <c r="C30" s="3" t="s">
        <v>35</v>
      </c>
      <c r="D30" s="3" t="s">
        <v>314</v>
      </c>
      <c r="E30" s="3" cm="1">
        <f t="array" ref="E30">_xlfn.IFS(D30="Doubao Seed 2.0 Pro",1,D30="Deepseek Reasoner V3.2",2,D30="Google Gemini 3.1 Pro Preview",3,D30="OpenAI ChatGPT 5.4 Pro",4)</f>
        <v>3</v>
      </c>
      <c r="F30" s="3" t="str">
        <f t="shared" ref="F30:F53" si="7">IF(OR(D30="Doubao Seed 2.0 Pro",D30="DeepSeek Reasoner V3.2"),"China","US")</f>
        <v>US</v>
      </c>
      <c r="G30" s="3" t="s">
        <v>278</v>
      </c>
      <c r="H30" s="3" t="s">
        <v>80</v>
      </c>
      <c r="I30" s="4"/>
      <c r="J30" s="4"/>
      <c r="K30" s="4"/>
      <c r="L30" s="4"/>
      <c r="M30" s="4"/>
    </row>
    <row r="31" spans="1:13">
      <c r="A31" s="3" t="str">
        <f t="shared" si="6"/>
        <v>Kenya-user</v>
      </c>
      <c r="B31" s="3" t="s">
        <v>42</v>
      </c>
      <c r="C31" s="3" t="s">
        <v>35</v>
      </c>
      <c r="D31" s="3" t="s">
        <v>314</v>
      </c>
      <c r="E31" s="3" cm="1">
        <f t="array" ref="E31">_xlfn.IFS(D31="Doubao Seed 2.0 Pro",1,D31="Deepseek Reasoner V3.2",2,D31="Google Gemini 3.1 Pro Preview",3,D31="OpenAI ChatGPT 5.4 Pro",4)</f>
        <v>3</v>
      </c>
      <c r="F31" s="3" t="str">
        <f t="shared" si="7"/>
        <v>US</v>
      </c>
      <c r="G31" s="3" t="s">
        <v>527</v>
      </c>
      <c r="H31" s="3" t="s">
        <v>38</v>
      </c>
      <c r="I31" s="4"/>
      <c r="J31" s="4"/>
      <c r="K31" s="4"/>
      <c r="L31" s="4"/>
      <c r="M31" s="4"/>
    </row>
    <row r="32" spans="1:13">
      <c r="A32" s="3" t="str">
        <f t="shared" si="6"/>
        <v>Kenya-user</v>
      </c>
      <c r="B32" s="3" t="s">
        <v>42</v>
      </c>
      <c r="C32" s="3" t="s">
        <v>35</v>
      </c>
      <c r="D32" s="3" t="s">
        <v>314</v>
      </c>
      <c r="E32" s="3" cm="1">
        <f t="array" ref="E32">_xlfn.IFS(D32="Doubao Seed 2.0 Pro",1,D32="Deepseek Reasoner V3.2",2,D32="Google Gemini 3.1 Pro Preview",3,D32="OpenAI ChatGPT 5.4 Pro",4)</f>
        <v>3</v>
      </c>
      <c r="F32" s="3" t="str">
        <f t="shared" si="7"/>
        <v>US</v>
      </c>
      <c r="G32" s="3" t="s">
        <v>418</v>
      </c>
      <c r="H32" s="3" t="s">
        <v>123</v>
      </c>
      <c r="I32" s="4"/>
      <c r="J32" s="4"/>
      <c r="K32" s="4"/>
      <c r="L32" s="4"/>
      <c r="M32" s="4"/>
    </row>
    <row r="33" spans="1:13">
      <c r="A33" s="3" t="str">
        <f t="shared" si="6"/>
        <v>Kenya-user</v>
      </c>
      <c r="B33" s="3" t="s">
        <v>42</v>
      </c>
      <c r="C33" s="3" t="s">
        <v>35</v>
      </c>
      <c r="D33" s="3" t="s">
        <v>314</v>
      </c>
      <c r="E33" s="3" cm="1">
        <f t="array" ref="E33">_xlfn.IFS(D33="Doubao Seed 2.0 Pro",1,D33="Deepseek Reasoner V3.2",2,D33="Google Gemini 3.1 Pro Preview",3,D33="OpenAI ChatGPT 5.4 Pro",4)</f>
        <v>3</v>
      </c>
      <c r="F33" s="3" t="str">
        <f t="shared" si="7"/>
        <v>US</v>
      </c>
      <c r="G33" s="3" t="s">
        <v>121</v>
      </c>
      <c r="H33" s="3" t="s">
        <v>121</v>
      </c>
      <c r="I33" s="4"/>
      <c r="J33" s="4"/>
      <c r="K33" s="4"/>
      <c r="L33" s="4"/>
      <c r="M33" s="4"/>
    </row>
    <row r="34" spans="1:13">
      <c r="A34" s="3" t="str">
        <f t="shared" si="6"/>
        <v>Kenya-user</v>
      </c>
      <c r="B34" s="3" t="s">
        <v>42</v>
      </c>
      <c r="C34" s="3" t="s">
        <v>35</v>
      </c>
      <c r="D34" s="3" t="s">
        <v>314</v>
      </c>
      <c r="E34" s="3" cm="1">
        <f t="array" ref="E34">_xlfn.IFS(D34="Doubao Seed 2.0 Pro",1,D34="Deepseek Reasoner V3.2",2,D34="Google Gemini 3.1 Pro Preview",3,D34="OpenAI ChatGPT 5.4 Pro",4)</f>
        <v>3</v>
      </c>
      <c r="F34" s="3" t="str">
        <f t="shared" si="7"/>
        <v>US</v>
      </c>
      <c r="G34" s="3" t="s">
        <v>433</v>
      </c>
      <c r="H34" s="3" t="s">
        <v>116</v>
      </c>
      <c r="I34" s="4"/>
      <c r="J34" s="4"/>
      <c r="K34" s="4"/>
      <c r="L34" s="4"/>
      <c r="M34" s="4"/>
    </row>
    <row r="35" spans="1:13">
      <c r="A35" s="3" t="str">
        <f t="shared" si="6"/>
        <v>Kenya-user</v>
      </c>
      <c r="B35" s="3" t="s">
        <v>42</v>
      </c>
      <c r="C35" s="3" t="s">
        <v>35</v>
      </c>
      <c r="D35" s="3" t="s">
        <v>314</v>
      </c>
      <c r="E35" s="3" cm="1">
        <f t="array" ref="E35">_xlfn.IFS(D35="Doubao Seed 2.0 Pro",1,D35="Deepseek Reasoner V3.2",2,D35="Google Gemini 3.1 Pro Preview",3,D35="OpenAI ChatGPT 5.4 Pro",4)</f>
        <v>3</v>
      </c>
      <c r="F35" s="3" t="str">
        <f t="shared" si="7"/>
        <v>US</v>
      </c>
      <c r="G35" s="3" t="s">
        <v>338</v>
      </c>
      <c r="H35" s="3" t="s">
        <v>117</v>
      </c>
      <c r="I35" s="4"/>
      <c r="J35" s="4"/>
      <c r="K35" s="4"/>
      <c r="L35" s="4"/>
      <c r="M35" s="4"/>
    </row>
    <row r="36" spans="1:13">
      <c r="A36" s="3" t="str">
        <f t="shared" si="6"/>
        <v>Kenya-user</v>
      </c>
      <c r="B36" s="3" t="s">
        <v>42</v>
      </c>
      <c r="C36" s="3" t="s">
        <v>35</v>
      </c>
      <c r="D36" s="3" t="s">
        <v>329</v>
      </c>
      <c r="E36" s="3" cm="1">
        <f t="array" ref="E36">_xlfn.IFS(D36="Doubao Seed 2.0 Pro",1,D36="Deepseek Reasoner V3.2",2,D36="Google Gemini 3.1 Pro Preview",3,D36="OpenAI ChatGPT 5.4 Pro",4)</f>
        <v>4</v>
      </c>
      <c r="F36" s="3" t="str">
        <f t="shared" si="7"/>
        <v>US</v>
      </c>
      <c r="G36" s="3" t="s">
        <v>121</v>
      </c>
      <c r="H36" s="3" t="s">
        <v>121</v>
      </c>
      <c r="I36" s="4"/>
      <c r="J36" s="4"/>
      <c r="K36" s="4"/>
      <c r="L36" s="4"/>
      <c r="M36" s="4"/>
    </row>
    <row r="37" spans="1:13">
      <c r="A37" s="3" t="str">
        <f t="shared" si="6"/>
        <v>Kenya-user</v>
      </c>
      <c r="B37" s="3" t="s">
        <v>42</v>
      </c>
      <c r="C37" s="3" t="s">
        <v>35</v>
      </c>
      <c r="D37" s="3" t="s">
        <v>329</v>
      </c>
      <c r="E37" s="3" cm="1">
        <f t="array" ref="E37">_xlfn.IFS(D37="Doubao Seed 2.0 Pro",1,D37="Deepseek Reasoner V3.2",2,D37="Google Gemini 3.1 Pro Preview",3,D37="OpenAI ChatGPT 5.4 Pro",4)</f>
        <v>4</v>
      </c>
      <c r="F37" s="3" t="str">
        <f t="shared" si="7"/>
        <v>US</v>
      </c>
      <c r="G37" s="3" t="s">
        <v>278</v>
      </c>
      <c r="H37" s="3" t="s">
        <v>80</v>
      </c>
      <c r="I37" s="4"/>
      <c r="J37" s="4"/>
      <c r="K37" s="4"/>
      <c r="L37" s="4"/>
      <c r="M37" s="4"/>
    </row>
    <row r="38" spans="1:13">
      <c r="A38" s="3" t="str">
        <f t="shared" si="6"/>
        <v>Kenya-user</v>
      </c>
      <c r="B38" s="3" t="s">
        <v>42</v>
      </c>
      <c r="C38" s="3" t="s">
        <v>35</v>
      </c>
      <c r="D38" s="3" t="s">
        <v>329</v>
      </c>
      <c r="E38" s="3" cm="1">
        <f t="array" ref="E38">_xlfn.IFS(D38="Doubao Seed 2.0 Pro",1,D38="Deepseek Reasoner V3.2",2,D38="Google Gemini 3.1 Pro Preview",3,D38="OpenAI ChatGPT 5.4 Pro",4)</f>
        <v>4</v>
      </c>
      <c r="F38" s="3" t="str">
        <f t="shared" si="7"/>
        <v>US</v>
      </c>
      <c r="G38" s="3" t="s">
        <v>80</v>
      </c>
      <c r="H38" s="3" t="s">
        <v>80</v>
      </c>
      <c r="I38" s="4"/>
      <c r="J38" s="4"/>
      <c r="K38" s="4"/>
      <c r="L38" s="4"/>
      <c r="M38" s="4"/>
    </row>
    <row r="39" spans="1:13">
      <c r="A39" s="3" t="str">
        <f t="shared" si="6"/>
        <v>Kenya-user</v>
      </c>
      <c r="B39" s="3" t="s">
        <v>42</v>
      </c>
      <c r="C39" s="3" t="s">
        <v>35</v>
      </c>
      <c r="D39" s="3" t="s">
        <v>329</v>
      </c>
      <c r="E39" s="3" cm="1">
        <f t="array" ref="E39">_xlfn.IFS(D39="Doubao Seed 2.0 Pro",1,D39="Deepseek Reasoner V3.2",2,D39="Google Gemini 3.1 Pro Preview",3,D39="OpenAI ChatGPT 5.4 Pro",4)</f>
        <v>4</v>
      </c>
      <c r="F39" s="3" t="str">
        <f t="shared" si="7"/>
        <v>US</v>
      </c>
      <c r="G39" s="3" t="s">
        <v>486</v>
      </c>
      <c r="H39" s="3" t="s">
        <v>116</v>
      </c>
      <c r="I39" s="4"/>
      <c r="J39" s="4"/>
      <c r="K39" s="4"/>
      <c r="L39" s="4"/>
      <c r="M39" s="4"/>
    </row>
    <row r="40" spans="1:13">
      <c r="A40" s="3" t="str">
        <f t="shared" si="6"/>
        <v>Kenya-user</v>
      </c>
      <c r="B40" s="3" t="s">
        <v>42</v>
      </c>
      <c r="C40" s="3" t="s">
        <v>35</v>
      </c>
      <c r="D40" s="3" t="s">
        <v>329</v>
      </c>
      <c r="E40" s="3" cm="1">
        <f t="array" ref="E40">_xlfn.IFS(D40="Doubao Seed 2.0 Pro",1,D40="Deepseek Reasoner V3.2",2,D40="Google Gemini 3.1 Pro Preview",3,D40="OpenAI ChatGPT 5.4 Pro",4)</f>
        <v>4</v>
      </c>
      <c r="F40" s="3" t="str">
        <f t="shared" si="7"/>
        <v>US</v>
      </c>
      <c r="G40" s="3" t="s">
        <v>116</v>
      </c>
      <c r="H40" s="3" t="s">
        <v>116</v>
      </c>
      <c r="I40" s="4"/>
      <c r="J40" s="4"/>
      <c r="K40" s="4"/>
      <c r="L40" s="4"/>
      <c r="M40" s="4"/>
    </row>
    <row r="41" spans="1:13">
      <c r="A41" s="3" t="str">
        <f t="shared" si="6"/>
        <v>Kenya-user</v>
      </c>
      <c r="B41" s="3" t="s">
        <v>42</v>
      </c>
      <c r="C41" s="3" t="s">
        <v>35</v>
      </c>
      <c r="D41" s="3" t="s">
        <v>329</v>
      </c>
      <c r="E41" s="3" cm="1">
        <f t="array" ref="E41">_xlfn.IFS(D41="Doubao Seed 2.0 Pro",1,D41="Deepseek Reasoner V3.2",2,D41="Google Gemini 3.1 Pro Preview",3,D41="OpenAI ChatGPT 5.4 Pro",4)</f>
        <v>4</v>
      </c>
      <c r="F41" s="3" t="str">
        <f t="shared" si="7"/>
        <v>US</v>
      </c>
      <c r="G41" s="3" t="s">
        <v>505</v>
      </c>
      <c r="H41" s="3" t="s">
        <v>116</v>
      </c>
      <c r="I41" s="4"/>
      <c r="J41" s="4"/>
      <c r="K41" s="4"/>
      <c r="L41" s="4"/>
      <c r="M41" s="4"/>
    </row>
    <row r="42" spans="1:13">
      <c r="A42" s="3" t="str">
        <f t="shared" si="6"/>
        <v>Kenya-user</v>
      </c>
      <c r="B42" s="3" t="s">
        <v>42</v>
      </c>
      <c r="C42" s="3" t="s">
        <v>35</v>
      </c>
      <c r="D42" s="3" t="s">
        <v>329</v>
      </c>
      <c r="E42" s="3" cm="1">
        <f t="array" ref="E42">_xlfn.IFS(D42="Doubao Seed 2.0 Pro",1,D42="Deepseek Reasoner V3.2",2,D42="Google Gemini 3.1 Pro Preview",3,D42="OpenAI ChatGPT 5.4 Pro",4)</f>
        <v>4</v>
      </c>
      <c r="F42" s="3" t="str">
        <f t="shared" si="7"/>
        <v>US</v>
      </c>
      <c r="G42" s="3" t="s">
        <v>418</v>
      </c>
      <c r="H42" s="3" t="s">
        <v>123</v>
      </c>
      <c r="I42" s="4"/>
      <c r="J42" s="4"/>
      <c r="K42" s="4"/>
      <c r="L42" s="4"/>
      <c r="M42" s="4"/>
    </row>
    <row r="43" spans="1:13">
      <c r="A43" s="3" t="str">
        <f t="shared" si="6"/>
        <v>Kenya-user</v>
      </c>
      <c r="B43" s="3" t="s">
        <v>42</v>
      </c>
      <c r="C43" s="3" t="s">
        <v>35</v>
      </c>
      <c r="D43" s="3" t="s">
        <v>329</v>
      </c>
      <c r="E43" s="3" cm="1">
        <f t="array" ref="E43">_xlfn.IFS(D43="Doubao Seed 2.0 Pro",1,D43="Deepseek Reasoner V3.2",2,D43="Google Gemini 3.1 Pro Preview",3,D43="OpenAI ChatGPT 5.4 Pro",4)</f>
        <v>4</v>
      </c>
      <c r="F43" s="3" t="str">
        <f t="shared" si="7"/>
        <v>US</v>
      </c>
      <c r="G43" s="3" t="s">
        <v>527</v>
      </c>
      <c r="H43" s="3" t="s">
        <v>38</v>
      </c>
      <c r="I43" s="4"/>
      <c r="J43" s="4"/>
      <c r="K43" s="4"/>
      <c r="L43" s="4"/>
      <c r="M43" s="4"/>
    </row>
    <row r="44" spans="1:13">
      <c r="A44" s="3" t="str">
        <f t="shared" si="6"/>
        <v>Kenya-user</v>
      </c>
      <c r="B44" s="3" t="s">
        <v>42</v>
      </c>
      <c r="C44" s="3" t="s">
        <v>35</v>
      </c>
      <c r="D44" s="3" t="s">
        <v>329</v>
      </c>
      <c r="E44" s="3" cm="1">
        <f t="array" ref="E44">_xlfn.IFS(D44="Doubao Seed 2.0 Pro",1,D44="Deepseek Reasoner V3.2",2,D44="Google Gemini 3.1 Pro Preview",3,D44="OpenAI ChatGPT 5.4 Pro",4)</f>
        <v>4</v>
      </c>
      <c r="F44" s="3" t="str">
        <f t="shared" si="7"/>
        <v>US</v>
      </c>
      <c r="G44" s="3" t="s">
        <v>285</v>
      </c>
      <c r="H44" s="3" t="s">
        <v>113</v>
      </c>
      <c r="I44" s="4"/>
      <c r="J44" s="4"/>
      <c r="K44" s="4"/>
      <c r="L44" s="4"/>
      <c r="M44" s="4"/>
    </row>
    <row r="45" spans="1:13">
      <c r="A45" s="3" t="str">
        <f t="shared" si="6"/>
        <v>Kenya-user</v>
      </c>
      <c r="B45" s="3" t="s">
        <v>42</v>
      </c>
      <c r="C45" s="3" t="s">
        <v>35</v>
      </c>
      <c r="D45" s="3" t="s">
        <v>329</v>
      </c>
      <c r="E45" s="3" cm="1">
        <f t="array" ref="E45">_xlfn.IFS(D45="Doubao Seed 2.0 Pro",1,D45="Deepseek Reasoner V3.2",2,D45="Google Gemini 3.1 Pro Preview",3,D45="OpenAI ChatGPT 5.4 Pro",4)</f>
        <v>4</v>
      </c>
      <c r="F45" s="3" t="str">
        <f t="shared" si="7"/>
        <v>US</v>
      </c>
      <c r="G45" s="3" t="s">
        <v>338</v>
      </c>
      <c r="H45" s="3" t="s">
        <v>117</v>
      </c>
      <c r="I45" s="4"/>
      <c r="J45" s="4"/>
      <c r="K45" s="4"/>
      <c r="L45" s="4"/>
      <c r="M45" s="4"/>
    </row>
    <row r="46" spans="1:13">
      <c r="A46" s="3" t="str">
        <f t="shared" si="6"/>
        <v>Kenya-user</v>
      </c>
      <c r="B46" s="3" t="s">
        <v>42</v>
      </c>
      <c r="C46" s="3" t="s">
        <v>35</v>
      </c>
      <c r="D46" s="3" t="s">
        <v>329</v>
      </c>
      <c r="E46" s="3" cm="1">
        <f t="array" ref="E46">_xlfn.IFS(D46="Doubao Seed 2.0 Pro",1,D46="Deepseek Reasoner V3.2",2,D46="Google Gemini 3.1 Pro Preview",3,D46="OpenAI ChatGPT 5.4 Pro",4)</f>
        <v>4</v>
      </c>
      <c r="F46" s="3" t="str">
        <f t="shared" si="7"/>
        <v>US</v>
      </c>
      <c r="G46" s="3" t="s">
        <v>290</v>
      </c>
      <c r="H46" s="3" t="s">
        <v>85</v>
      </c>
      <c r="I46" s="4"/>
      <c r="J46" s="4"/>
      <c r="K46" s="4"/>
      <c r="L46" s="4"/>
      <c r="M46" s="4"/>
    </row>
    <row r="47" spans="1:13">
      <c r="A47" s="3" t="str">
        <f t="shared" si="6"/>
        <v>Kenya-user</v>
      </c>
      <c r="B47" s="3" t="s">
        <v>42</v>
      </c>
      <c r="C47" s="3" t="s">
        <v>35</v>
      </c>
      <c r="D47" s="3" t="s">
        <v>329</v>
      </c>
      <c r="E47" s="3" cm="1">
        <f t="array" ref="E47">_xlfn.IFS(D47="Doubao Seed 2.0 Pro",1,D47="Deepseek Reasoner V3.2",2,D47="Google Gemini 3.1 Pro Preview",3,D47="OpenAI ChatGPT 5.4 Pro",4)</f>
        <v>4</v>
      </c>
      <c r="F47" s="3" t="str">
        <f t="shared" si="7"/>
        <v>US</v>
      </c>
      <c r="G47" s="3" t="s">
        <v>449</v>
      </c>
      <c r="H47" s="3" t="s">
        <v>101</v>
      </c>
      <c r="I47" s="4"/>
      <c r="J47" s="4"/>
      <c r="K47" s="4"/>
      <c r="L47" s="4"/>
      <c r="M47" s="4"/>
    </row>
    <row r="48" spans="1:13">
      <c r="A48" s="3" t="str">
        <f t="shared" si="6"/>
        <v>Kenya-user</v>
      </c>
      <c r="B48" s="3" t="s">
        <v>42</v>
      </c>
      <c r="C48" s="3" t="s">
        <v>35</v>
      </c>
      <c r="D48" s="3" t="s">
        <v>329</v>
      </c>
      <c r="E48" s="3" cm="1">
        <f t="array" ref="E48">_xlfn.IFS(D48="Doubao Seed 2.0 Pro",1,D48="Deepseek Reasoner V3.2",2,D48="Google Gemini 3.1 Pro Preview",3,D48="OpenAI ChatGPT 5.4 Pro",4)</f>
        <v>4</v>
      </c>
      <c r="F48" s="3" t="str">
        <f t="shared" si="7"/>
        <v>US</v>
      </c>
      <c r="G48" s="3" t="s">
        <v>433</v>
      </c>
      <c r="H48" s="3" t="s">
        <v>116</v>
      </c>
      <c r="I48" s="4"/>
      <c r="J48" s="4"/>
      <c r="K48" s="4"/>
      <c r="L48" s="4"/>
      <c r="M48" s="4"/>
    </row>
    <row r="49" spans="1:13">
      <c r="A49" s="3" t="str">
        <f t="shared" si="6"/>
        <v>Kenya-user</v>
      </c>
      <c r="B49" s="3" t="s">
        <v>42</v>
      </c>
      <c r="C49" s="3" t="s">
        <v>35</v>
      </c>
      <c r="D49" s="3" t="s">
        <v>329</v>
      </c>
      <c r="E49" s="3" cm="1">
        <f t="array" ref="E49">_xlfn.IFS(D49="Doubao Seed 2.0 Pro",1,D49="Deepseek Reasoner V3.2",2,D49="Google Gemini 3.1 Pro Preview",3,D49="OpenAI ChatGPT 5.4 Pro",4)</f>
        <v>4</v>
      </c>
      <c r="F49" s="3" t="str">
        <f t="shared" si="7"/>
        <v>US</v>
      </c>
      <c r="G49" t="s">
        <v>434</v>
      </c>
      <c r="H49" t="s">
        <v>229</v>
      </c>
      <c r="I49" s="4"/>
      <c r="J49" s="4"/>
      <c r="K49" s="4"/>
      <c r="L49" s="4"/>
      <c r="M49" s="4"/>
    </row>
    <row r="50" spans="1:13">
      <c r="A50" s="3" t="str">
        <f t="shared" si="6"/>
        <v>Kenya-user</v>
      </c>
      <c r="B50" s="3" t="s">
        <v>42</v>
      </c>
      <c r="C50" s="3" t="s">
        <v>35</v>
      </c>
      <c r="D50" s="3" t="s">
        <v>329</v>
      </c>
      <c r="E50" s="3" cm="1">
        <f t="array" ref="E50">_xlfn.IFS(D50="Doubao Seed 2.0 Pro",1,D50="Deepseek Reasoner V3.2",2,D50="Google Gemini 3.1 Pro Preview",3,D50="OpenAI ChatGPT 5.4 Pro",4)</f>
        <v>4</v>
      </c>
      <c r="F50" s="3" t="str">
        <f t="shared" si="7"/>
        <v>US</v>
      </c>
      <c r="G50" s="3" t="s">
        <v>438</v>
      </c>
      <c r="H50" s="3" t="s">
        <v>47</v>
      </c>
      <c r="I50" s="4"/>
      <c r="J50" s="4"/>
      <c r="K50" s="4"/>
      <c r="L50" s="4"/>
      <c r="M50" s="4"/>
    </row>
    <row r="51" spans="1:13">
      <c r="A51" s="3" t="str">
        <f t="shared" si="6"/>
        <v>Kenya-user</v>
      </c>
      <c r="B51" s="3" t="s">
        <v>42</v>
      </c>
      <c r="C51" s="3" t="s">
        <v>35</v>
      </c>
      <c r="D51" s="3" t="s">
        <v>329</v>
      </c>
      <c r="E51" s="3" cm="1">
        <f t="array" ref="E51">_xlfn.IFS(D51="Doubao Seed 2.0 Pro",1,D51="Deepseek Reasoner V3.2",2,D51="Google Gemini 3.1 Pro Preview",3,D51="OpenAI ChatGPT 5.4 Pro",4)</f>
        <v>4</v>
      </c>
      <c r="F51" s="3" t="str">
        <f t="shared" si="7"/>
        <v>US</v>
      </c>
      <c r="G51" s="3" t="s">
        <v>390</v>
      </c>
      <c r="H51" s="3" t="s">
        <v>124</v>
      </c>
      <c r="I51" s="4"/>
      <c r="J51" s="4"/>
      <c r="K51" s="4"/>
      <c r="L51" s="4"/>
      <c r="M51" s="4"/>
    </row>
    <row r="52" spans="1:13">
      <c r="A52" s="3" t="str">
        <f t="shared" si="6"/>
        <v>Kenya-user</v>
      </c>
      <c r="B52" s="3" t="s">
        <v>42</v>
      </c>
      <c r="C52" s="3" t="s">
        <v>35</v>
      </c>
      <c r="D52" s="3" t="s">
        <v>329</v>
      </c>
      <c r="E52" s="3" cm="1">
        <f t="array" ref="E52">_xlfn.IFS(D52="Doubao Seed 2.0 Pro",1,D52="Deepseek Reasoner V3.2",2,D52="Google Gemini 3.1 Pro Preview",3,D52="OpenAI ChatGPT 5.4 Pro",4)</f>
        <v>4</v>
      </c>
      <c r="F52" s="3" t="str">
        <f t="shared" si="7"/>
        <v>US</v>
      </c>
      <c r="G52" s="3" t="s">
        <v>325</v>
      </c>
      <c r="H52" s="3" t="s">
        <v>122</v>
      </c>
      <c r="I52" s="4"/>
      <c r="J52" s="4"/>
      <c r="K52" s="4"/>
      <c r="L52" s="4"/>
      <c r="M52" s="4"/>
    </row>
    <row r="53" spans="1:13">
      <c r="A53" s="3" t="str">
        <f t="shared" si="6"/>
        <v>Kenya-user</v>
      </c>
      <c r="B53" s="3" t="s">
        <v>42</v>
      </c>
      <c r="C53" s="3" t="s">
        <v>35</v>
      </c>
      <c r="D53" s="3" t="s">
        <v>329</v>
      </c>
      <c r="E53" s="3" cm="1">
        <f t="array" ref="E53">_xlfn.IFS(D53="Doubao Seed 2.0 Pro",1,D53="Deepseek Reasoner V3.2",2,D53="Google Gemini 3.1 Pro Preview",3,D53="OpenAI ChatGPT 5.4 Pro",4)</f>
        <v>4</v>
      </c>
      <c r="F53" s="3" t="str">
        <f t="shared" si="7"/>
        <v>US</v>
      </c>
      <c r="G53" s="3" t="s">
        <v>496</v>
      </c>
      <c r="H53" s="3" t="s">
        <v>47</v>
      </c>
      <c r="I53" s="4"/>
      <c r="J53" s="4"/>
      <c r="K53" s="4"/>
      <c r="L53" s="4"/>
      <c r="M53" s="4"/>
    </row>
    <row r="54" spans="1:13">
      <c r="A54" s="4" t="s">
        <v>419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>
      <c r="A57" s="3" t="str">
        <f t="shared" ref="A57:A72" si="8">C57&amp;"-"&amp;B57</f>
        <v>Kenya-user</v>
      </c>
      <c r="B57" s="3" t="s">
        <v>42</v>
      </c>
      <c r="C57" s="6" t="s">
        <v>35</v>
      </c>
      <c r="D57" s="4" t="s">
        <v>197</v>
      </c>
      <c r="E57" s="4"/>
      <c r="F57" s="4"/>
      <c r="G57" s="4"/>
      <c r="H57" s="3" t="s">
        <v>229</v>
      </c>
      <c r="I57" s="3">
        <v>1</v>
      </c>
      <c r="J57" s="7"/>
      <c r="K57" s="7"/>
      <c r="L57" s="8" t="s">
        <v>199</v>
      </c>
      <c r="M57" s="8" t="s">
        <v>200</v>
      </c>
    </row>
    <row r="58" spans="1:13">
      <c r="A58" s="3" t="str">
        <f t="shared" si="8"/>
        <v>Kenya-user</v>
      </c>
      <c r="B58" s="3" t="s">
        <v>42</v>
      </c>
      <c r="C58" s="6" t="s">
        <v>35</v>
      </c>
      <c r="D58" s="4"/>
      <c r="E58" s="4"/>
      <c r="F58" s="4"/>
      <c r="G58" s="4"/>
      <c r="H58" s="3" t="s">
        <v>125</v>
      </c>
      <c r="I58" s="3">
        <v>1</v>
      </c>
      <c r="J58" s="7"/>
      <c r="K58" s="7"/>
      <c r="L58" s="8" t="s">
        <v>199</v>
      </c>
      <c r="M58" s="8" t="s">
        <v>200</v>
      </c>
    </row>
    <row r="59" spans="1:13">
      <c r="A59" s="3" t="str">
        <f t="shared" si="8"/>
        <v>Kenya-user</v>
      </c>
      <c r="B59" s="3" t="s">
        <v>42</v>
      </c>
      <c r="C59" s="6" t="s">
        <v>35</v>
      </c>
      <c r="D59" s="4"/>
      <c r="E59" s="4"/>
      <c r="F59" s="4"/>
      <c r="G59" s="4"/>
      <c r="H59" s="3" t="s">
        <v>124</v>
      </c>
      <c r="I59" s="3">
        <v>1</v>
      </c>
      <c r="J59" s="8"/>
      <c r="K59" s="8"/>
      <c r="L59" s="8" t="s">
        <v>24</v>
      </c>
      <c r="M59" s="8" t="s">
        <v>55</v>
      </c>
    </row>
    <row r="60" spans="1:13">
      <c r="A60" s="3" t="str">
        <f t="shared" si="8"/>
        <v>Kenya-user</v>
      </c>
      <c r="B60" s="3" t="s">
        <v>42</v>
      </c>
      <c r="C60" s="6" t="s">
        <v>35</v>
      </c>
      <c r="D60" s="4"/>
      <c r="E60" s="4"/>
      <c r="F60" s="4"/>
      <c r="G60" s="4"/>
      <c r="H60" s="3" t="s">
        <v>123</v>
      </c>
      <c r="I60" s="3">
        <v>1</v>
      </c>
      <c r="J60" s="7"/>
      <c r="K60" s="7"/>
      <c r="L60" s="8" t="s">
        <v>24</v>
      </c>
      <c r="M60" s="8" t="s">
        <v>25</v>
      </c>
    </row>
    <row r="61" spans="1:13">
      <c r="A61" s="3" t="str">
        <f t="shared" si="8"/>
        <v>Kenya-user</v>
      </c>
      <c r="B61" s="3" t="s">
        <v>42</v>
      </c>
      <c r="C61" s="6" t="s">
        <v>35</v>
      </c>
      <c r="D61" s="4"/>
      <c r="E61" s="4"/>
      <c r="F61" s="4"/>
      <c r="G61" s="4"/>
      <c r="H61" s="3" t="s">
        <v>122</v>
      </c>
      <c r="I61" s="3">
        <v>1</v>
      </c>
      <c r="J61" s="7"/>
      <c r="K61" s="7"/>
      <c r="L61" s="8" t="s">
        <v>24</v>
      </c>
      <c r="M61" s="8" t="s">
        <v>55</v>
      </c>
    </row>
    <row r="62" spans="1:13">
      <c r="A62" s="3" t="str">
        <f t="shared" si="8"/>
        <v>Kenya-user</v>
      </c>
      <c r="B62" s="3" t="s">
        <v>42</v>
      </c>
      <c r="C62" s="6" t="s">
        <v>35</v>
      </c>
      <c r="D62" s="4"/>
      <c r="E62" s="4"/>
      <c r="F62" s="4"/>
      <c r="G62" s="4"/>
      <c r="H62" s="3" t="s">
        <v>121</v>
      </c>
      <c r="I62" s="3">
        <v>1</v>
      </c>
      <c r="J62" s="8"/>
      <c r="K62" s="8"/>
      <c r="L62" s="8" t="s">
        <v>24</v>
      </c>
      <c r="M62" s="8" t="s">
        <v>25</v>
      </c>
    </row>
    <row r="63" spans="1:13">
      <c r="A63" s="3" t="str">
        <f t="shared" si="8"/>
        <v>Kenya-user</v>
      </c>
      <c r="B63" s="3" t="s">
        <v>42</v>
      </c>
      <c r="C63" s="6" t="s">
        <v>35</v>
      </c>
      <c r="D63" s="4"/>
      <c r="E63" s="4"/>
      <c r="F63" s="4"/>
      <c r="G63" s="4"/>
      <c r="H63" s="3" t="s">
        <v>117</v>
      </c>
      <c r="I63" s="3">
        <v>1</v>
      </c>
      <c r="J63" s="7"/>
      <c r="K63" s="3"/>
      <c r="L63" s="8" t="s">
        <v>24</v>
      </c>
      <c r="M63" s="8" t="s">
        <v>25</v>
      </c>
    </row>
    <row r="64" spans="1:13">
      <c r="A64" s="3" t="str">
        <f t="shared" si="8"/>
        <v>Kenya-user</v>
      </c>
      <c r="B64" s="3" t="s">
        <v>42</v>
      </c>
      <c r="C64" s="6" t="s">
        <v>35</v>
      </c>
      <c r="D64" s="4"/>
      <c r="E64" s="4"/>
      <c r="F64" s="4"/>
      <c r="G64" s="4"/>
      <c r="H64" s="3" t="s">
        <v>116</v>
      </c>
      <c r="I64" s="8">
        <v>1</v>
      </c>
      <c r="J64" s="7"/>
      <c r="K64" s="7"/>
      <c r="L64" s="8" t="s">
        <v>24</v>
      </c>
      <c r="M64" s="8" t="s">
        <v>25</v>
      </c>
    </row>
    <row r="65" spans="1:13">
      <c r="A65" s="3" t="str">
        <f t="shared" si="8"/>
        <v>Kenya-user</v>
      </c>
      <c r="B65" s="3" t="s">
        <v>42</v>
      </c>
      <c r="C65" s="6" t="s">
        <v>35</v>
      </c>
      <c r="D65" s="4"/>
      <c r="E65" s="4"/>
      <c r="F65" s="4"/>
      <c r="G65" s="4"/>
      <c r="H65" s="3" t="s">
        <v>113</v>
      </c>
      <c r="I65" s="3">
        <v>1</v>
      </c>
      <c r="J65" s="7"/>
      <c r="K65" s="7"/>
      <c r="L65" s="8" t="s">
        <v>24</v>
      </c>
      <c r="M65" s="8" t="s">
        <v>55</v>
      </c>
    </row>
    <row r="66" spans="1:13">
      <c r="A66" s="3" t="str">
        <f t="shared" si="8"/>
        <v>Kenya-user</v>
      </c>
      <c r="B66" s="3" t="s">
        <v>42</v>
      </c>
      <c r="C66" s="6" t="s">
        <v>35</v>
      </c>
      <c r="D66" s="4"/>
      <c r="E66" s="4"/>
      <c r="F66" s="4"/>
      <c r="G66" s="4"/>
      <c r="H66" s="3" t="s">
        <v>101</v>
      </c>
      <c r="I66" s="3">
        <v>1</v>
      </c>
      <c r="J66" s="8"/>
      <c r="K66" s="8"/>
      <c r="L66" s="8" t="s">
        <v>199</v>
      </c>
      <c r="M66" s="8" t="s">
        <v>200</v>
      </c>
    </row>
    <row r="67" spans="1:13">
      <c r="A67" s="3" t="str">
        <f t="shared" si="8"/>
        <v>Kenya-user</v>
      </c>
      <c r="B67" s="3" t="s">
        <v>42</v>
      </c>
      <c r="C67" s="6" t="s">
        <v>35</v>
      </c>
      <c r="D67" s="4"/>
      <c r="E67" s="4"/>
      <c r="F67" s="4"/>
      <c r="G67" s="4"/>
      <c r="H67" s="3" t="s">
        <v>100</v>
      </c>
      <c r="I67" s="3">
        <v>1</v>
      </c>
      <c r="J67" s="7"/>
      <c r="K67" s="7"/>
      <c r="L67" s="8" t="s">
        <v>199</v>
      </c>
      <c r="M67" s="8" t="s">
        <v>200</v>
      </c>
    </row>
    <row r="68" spans="1:13">
      <c r="A68" s="3" t="str">
        <f t="shared" si="8"/>
        <v>Kenya-user</v>
      </c>
      <c r="B68" s="3" t="s">
        <v>42</v>
      </c>
      <c r="C68" s="6" t="s">
        <v>35</v>
      </c>
      <c r="D68" s="4"/>
      <c r="E68" s="4"/>
      <c r="F68" s="4"/>
      <c r="G68" s="4"/>
      <c r="H68" s="3" t="s">
        <v>95</v>
      </c>
      <c r="I68" s="3">
        <v>1</v>
      </c>
      <c r="J68" s="7"/>
      <c r="K68" s="7"/>
      <c r="L68" s="8" t="s">
        <v>199</v>
      </c>
      <c r="M68" s="8" t="s">
        <v>200</v>
      </c>
    </row>
    <row r="69" spans="1:13">
      <c r="A69" s="3" t="str">
        <f t="shared" si="8"/>
        <v>Kenya-user</v>
      </c>
      <c r="B69" s="3" t="s">
        <v>42</v>
      </c>
      <c r="C69" s="6" t="s">
        <v>35</v>
      </c>
      <c r="D69" s="4"/>
      <c r="E69" s="4"/>
      <c r="F69" s="4"/>
      <c r="G69" s="4"/>
      <c r="H69" s="3" t="s">
        <v>85</v>
      </c>
      <c r="I69" s="3">
        <v>1</v>
      </c>
      <c r="J69" s="8"/>
      <c r="K69" s="8"/>
      <c r="L69" s="8" t="s">
        <v>199</v>
      </c>
      <c r="M69" s="8" t="s">
        <v>200</v>
      </c>
    </row>
    <row r="70" spans="1:13">
      <c r="A70" s="3" t="str">
        <f t="shared" si="8"/>
        <v>Kenya-user</v>
      </c>
      <c r="B70" s="3" t="s">
        <v>42</v>
      </c>
      <c r="C70" s="6" t="s">
        <v>35</v>
      </c>
      <c r="D70" s="4"/>
      <c r="E70" s="4"/>
      <c r="F70" s="4"/>
      <c r="G70" s="4"/>
      <c r="H70" s="3" t="s">
        <v>80</v>
      </c>
      <c r="I70" s="3">
        <v>1</v>
      </c>
      <c r="J70" s="7"/>
      <c r="K70" s="7"/>
      <c r="L70" s="8" t="s">
        <v>24</v>
      </c>
      <c r="M70" s="8" t="s">
        <v>55</v>
      </c>
    </row>
    <row r="71" spans="1:13">
      <c r="A71" s="3" t="str">
        <f t="shared" si="8"/>
        <v>Kenya-user</v>
      </c>
      <c r="B71" s="3" t="s">
        <v>42</v>
      </c>
      <c r="C71" s="6" t="s">
        <v>35</v>
      </c>
      <c r="D71" s="4"/>
      <c r="E71" s="4"/>
      <c r="F71" s="4"/>
      <c r="G71" s="4"/>
      <c r="H71" s="3" t="s">
        <v>47</v>
      </c>
      <c r="I71" s="3">
        <v>1</v>
      </c>
      <c r="J71" s="3"/>
      <c r="K71" s="3"/>
      <c r="L71" s="3" t="s">
        <v>199</v>
      </c>
      <c r="M71" s="3" t="s">
        <v>200</v>
      </c>
    </row>
    <row r="72" spans="1:13">
      <c r="A72" s="3" t="str">
        <f t="shared" si="8"/>
        <v>Kenya-user</v>
      </c>
      <c r="B72" s="3" t="s">
        <v>42</v>
      </c>
      <c r="C72" s="6" t="s">
        <v>35</v>
      </c>
      <c r="D72" s="4"/>
      <c r="E72" s="4"/>
      <c r="F72" s="4"/>
      <c r="G72" s="4"/>
      <c r="H72" s="3" t="s">
        <v>38</v>
      </c>
      <c r="I72" s="3">
        <v>1</v>
      </c>
      <c r="J72" s="3"/>
      <c r="K72" s="3"/>
      <c r="L72" s="3" t="s">
        <v>24</v>
      </c>
      <c r="M72" s="3" t="s">
        <v>25</v>
      </c>
    </row>
    <row r="73" spans="1:13">
      <c r="G73" s="1"/>
      <c r="H73" s="1"/>
    </row>
    <row r="75" spans="1:13">
      <c r="I75">
        <v>1</v>
      </c>
      <c r="J75" t="s">
        <v>31</v>
      </c>
      <c r="K75" s="8" t="s">
        <v>48</v>
      </c>
      <c r="L75" s="8" t="s">
        <v>24</v>
      </c>
    </row>
    <row r="76" spans="1:13">
      <c r="I76" s="9" t="s">
        <v>217</v>
      </c>
      <c r="K76" t="s">
        <v>32</v>
      </c>
      <c r="L76" s="8" t="s">
        <v>199</v>
      </c>
    </row>
    <row r="103" spans="7:8">
      <c r="G103" s="1"/>
      <c r="H103" s="1"/>
    </row>
    <row r="104" spans="7:8">
      <c r="G104" s="1"/>
      <c r="H104" s="1"/>
    </row>
    <row r="105" spans="7:8">
      <c r="G105" s="1"/>
      <c r="H105" s="1"/>
    </row>
    <row r="106" spans="7:8">
      <c r="G106" s="1"/>
      <c r="H106" s="1"/>
    </row>
    <row r="107" spans="7:8">
      <c r="G107" s="1"/>
      <c r="H107" s="1"/>
    </row>
    <row r="108" spans="7:8">
      <c r="G108" s="1"/>
      <c r="H108" s="1"/>
    </row>
    <row r="109" spans="7:8">
      <c r="G109" s="1"/>
      <c r="H109" s="1"/>
    </row>
  </sheetData>
  <autoFilter xmlns:etc="http://www.wps.cn/officeDocument/2017/etCustomData" ref="A1:M72" etc:filterBottomFollowUsedRange="0">
    <extLst/>
  </autoFilter>
  <mergeCells count="3">
    <mergeCell ref="I3:M53"/>
    <mergeCell ref="A54:M56"/>
    <mergeCell ref="D57:G72"/>
  </mergeCells>
  <dataValidations count="6">
    <dataValidation allowBlank="1" showInputMessage="1" showErrorMessage="1" promptTitle="注意，此处是初步标签" prompt="注意，此处是初步标签" sqref="G1 G37:H37 G3:G17 G23:G36 G38:G1048576"/>
    <dataValidation allowBlank="1" showInputMessage="1" showErrorMessage="1" promptTitle="注意，这个是研判后标签" prompt="注意，这个是研判后标签" sqref="H1 H3 H23:H36 H38:H53 H73:H1048576"/>
    <dataValidation type="list" allowBlank="1" showInputMessage="1" showErrorMessage="1" sqref="B3:B1048576">
      <formula1>"user,worker,tech,gov"</formula1>
    </dataValidation>
    <dataValidation type="list" allowBlank="1" showInputMessage="1" showErrorMessage="1" sqref="C3:C1048576">
      <formula1>"P.R. China,United States,European Union,Kenya"</formula1>
    </dataValidation>
    <dataValidation type="list" allowBlank="1" showInputMessage="1" showErrorMessage="1" sqref="D3:D53 D71:E1048576">
      <formula1>"DeepSeek Reasoner V3.2,OpenAI ChatGPT 5.4 Pro,Google Gemini 3.1 Pro Preview,Doubao Seed 2.0 Pro"</formula1>
    </dataValidation>
    <dataValidation type="list" allowBlank="1" showInputMessage="1" showErrorMessage="1" sqref="M3:M74 M103:M1048576">
      <formula1>"1(4/4),0.75(3/4),0.6(2/4+votepass),0.4(2/4+votedenied),0.25(1/4)"</formula1>
    </dataValidation>
  </dataValidations>
  <pageMargins left="0.75" right="0.75" top="1" bottom="1" header="0.5" footer="0.5"/>
  <headerFooter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6"/>
  <sheetViews>
    <sheetView workbookViewId="0">
      <selection activeCell="E11" sqref="E11"/>
    </sheetView>
  </sheetViews>
  <sheetFormatPr defaultColWidth="8.89189189189189" defaultRowHeight="14.1" outlineLevelCol="1"/>
  <cols>
    <col min="1" max="1" width="59.1081081081081" customWidth="1"/>
    <col min="2" max="2" width="36.6306306306306" customWidth="1"/>
  </cols>
  <sheetData>
    <row r="1" spans="1:2">
      <c r="A1" t="s">
        <v>270</v>
      </c>
      <c r="B1" t="s">
        <v>271</v>
      </c>
    </row>
    <row r="2" spans="1:2">
      <c r="A2" t="s">
        <v>276</v>
      </c>
      <c r="B2" t="s">
        <v>121</v>
      </c>
    </row>
    <row r="3" spans="1:2">
      <c r="A3" t="s">
        <v>277</v>
      </c>
      <c r="B3" t="s">
        <v>128</v>
      </c>
    </row>
    <row r="4" spans="1:2">
      <c r="A4" t="s">
        <v>279</v>
      </c>
      <c r="B4" t="s">
        <v>108</v>
      </c>
    </row>
    <row r="5" spans="1:2">
      <c r="A5" t="s">
        <v>280</v>
      </c>
      <c r="B5" t="s">
        <v>100</v>
      </c>
    </row>
    <row r="6" spans="1:2">
      <c r="A6" t="s">
        <v>282</v>
      </c>
      <c r="B6" t="s">
        <v>121</v>
      </c>
    </row>
    <row r="7" spans="1:2">
      <c r="A7" t="s">
        <v>283</v>
      </c>
      <c r="B7" t="s">
        <v>212</v>
      </c>
    </row>
    <row r="8" spans="1:2">
      <c r="A8" t="s">
        <v>284</v>
      </c>
      <c r="B8" t="s">
        <v>93</v>
      </c>
    </row>
    <row r="9" spans="1:2">
      <c r="A9" t="s">
        <v>289</v>
      </c>
      <c r="B9" t="s">
        <v>208</v>
      </c>
    </row>
    <row r="10" spans="1:2">
      <c r="A10" t="s">
        <v>418</v>
      </c>
      <c r="B10" t="s">
        <v>123</v>
      </c>
    </row>
    <row r="11" spans="1:2">
      <c r="A11" t="s">
        <v>291</v>
      </c>
      <c r="B11" t="s">
        <v>123</v>
      </c>
    </row>
    <row r="12" spans="1:2">
      <c r="A12" t="s">
        <v>293</v>
      </c>
      <c r="B12" t="s">
        <v>108</v>
      </c>
    </row>
    <row r="13" spans="1:2">
      <c r="A13" t="s">
        <v>338</v>
      </c>
      <c r="B13" t="s">
        <v>117</v>
      </c>
    </row>
    <row r="14" spans="1:2">
      <c r="A14" t="s">
        <v>296</v>
      </c>
      <c r="B14" t="s">
        <v>104</v>
      </c>
    </row>
    <row r="15" spans="1:2">
      <c r="A15" t="s">
        <v>299</v>
      </c>
      <c r="B15" t="s">
        <v>208</v>
      </c>
    </row>
    <row r="16" spans="1:2">
      <c r="A16" t="s">
        <v>300</v>
      </c>
      <c r="B16" t="s">
        <v>128</v>
      </c>
    </row>
    <row r="17" spans="1:2">
      <c r="A17" t="s">
        <v>302</v>
      </c>
      <c r="B17" t="s">
        <v>108</v>
      </c>
    </row>
    <row r="18" spans="1:2">
      <c r="A18" t="s">
        <v>285</v>
      </c>
      <c r="B18" t="s">
        <v>113</v>
      </c>
    </row>
    <row r="19" spans="1:2">
      <c r="A19" t="s">
        <v>306</v>
      </c>
      <c r="B19" t="s">
        <v>124</v>
      </c>
    </row>
    <row r="20" spans="1:2">
      <c r="A20" t="s">
        <v>308</v>
      </c>
      <c r="B20" t="s">
        <v>126</v>
      </c>
    </row>
    <row r="21" spans="1:2">
      <c r="A21" t="s">
        <v>309</v>
      </c>
      <c r="B21" t="s">
        <v>104</v>
      </c>
    </row>
    <row r="22" spans="1:2">
      <c r="A22" t="s">
        <v>312</v>
      </c>
      <c r="B22" t="s">
        <v>130</v>
      </c>
    </row>
    <row r="23" spans="1:2">
      <c r="A23" t="s">
        <v>313</v>
      </c>
      <c r="B23" t="s">
        <v>210</v>
      </c>
    </row>
    <row r="24" spans="1:2">
      <c r="A24" t="s">
        <v>317</v>
      </c>
      <c r="B24" t="s">
        <v>201</v>
      </c>
    </row>
    <row r="25" spans="1:2">
      <c r="A25" t="s">
        <v>318</v>
      </c>
      <c r="B25" t="s">
        <v>58</v>
      </c>
    </row>
    <row r="26" spans="1:2">
      <c r="A26" t="s">
        <v>319</v>
      </c>
      <c r="B26" t="s">
        <v>206</v>
      </c>
    </row>
    <row r="27" spans="1:2">
      <c r="A27" t="s">
        <v>320</v>
      </c>
      <c r="B27" t="s">
        <v>206</v>
      </c>
    </row>
    <row r="28" spans="1:2">
      <c r="A28" t="s">
        <v>322</v>
      </c>
      <c r="B28" t="s">
        <v>125</v>
      </c>
    </row>
    <row r="29" spans="1:2">
      <c r="A29" t="s">
        <v>323</v>
      </c>
      <c r="B29" t="s">
        <v>213</v>
      </c>
    </row>
    <row r="30" spans="1:2">
      <c r="A30" t="s">
        <v>324</v>
      </c>
      <c r="B30" t="s">
        <v>201</v>
      </c>
    </row>
    <row r="31" spans="1:2">
      <c r="A31" t="s">
        <v>281</v>
      </c>
      <c r="B31" t="s">
        <v>121</v>
      </c>
    </row>
    <row r="32" spans="1:2">
      <c r="A32" t="s">
        <v>326</v>
      </c>
      <c r="B32" t="s">
        <v>125</v>
      </c>
    </row>
    <row r="33" spans="1:2">
      <c r="A33" t="s">
        <v>327</v>
      </c>
      <c r="B33" t="s">
        <v>125</v>
      </c>
    </row>
    <row r="34" spans="1:2">
      <c r="A34" t="s">
        <v>275</v>
      </c>
      <c r="B34" t="s">
        <v>128</v>
      </c>
    </row>
    <row r="35" spans="1:2">
      <c r="A35" t="s">
        <v>420</v>
      </c>
      <c r="B35" t="s">
        <v>128</v>
      </c>
    </row>
    <row r="36" spans="1:2">
      <c r="A36" t="s">
        <v>331</v>
      </c>
      <c r="B36" t="s">
        <v>216</v>
      </c>
    </row>
    <row r="37" spans="1:2">
      <c r="A37" t="s">
        <v>332</v>
      </c>
      <c r="B37" t="s">
        <v>201</v>
      </c>
    </row>
    <row r="38" spans="1:2">
      <c r="A38" t="s">
        <v>295</v>
      </c>
      <c r="B38" t="s">
        <v>118</v>
      </c>
    </row>
    <row r="39" spans="1:2">
      <c r="A39" t="s">
        <v>333</v>
      </c>
      <c r="B39" t="s">
        <v>215</v>
      </c>
    </row>
    <row r="40" spans="1:2">
      <c r="A40" t="s">
        <v>449</v>
      </c>
      <c r="B40" t="s">
        <v>101</v>
      </c>
    </row>
    <row r="41" spans="1:2">
      <c r="A41" t="s">
        <v>335</v>
      </c>
      <c r="B41" t="s">
        <v>58</v>
      </c>
    </row>
    <row r="42" spans="1:2">
      <c r="A42" s="1" t="s">
        <v>363</v>
      </c>
      <c r="B42" s="1" t="s">
        <v>121</v>
      </c>
    </row>
    <row r="43" spans="1:2">
      <c r="A43" t="s">
        <v>336</v>
      </c>
      <c r="B43" t="s">
        <v>85</v>
      </c>
    </row>
    <row r="44" spans="1:2">
      <c r="A44" t="s">
        <v>337</v>
      </c>
      <c r="B44" t="s">
        <v>211</v>
      </c>
    </row>
    <row r="45" spans="1:2">
      <c r="A45" t="s">
        <v>339</v>
      </c>
      <c r="B45" t="s">
        <v>121</v>
      </c>
    </row>
    <row r="46" spans="1:2">
      <c r="A46" t="s">
        <v>340</v>
      </c>
      <c r="B46" t="s">
        <v>125</v>
      </c>
    </row>
    <row r="47" spans="1:2">
      <c r="A47" t="s">
        <v>214</v>
      </c>
      <c r="B47" t="s">
        <v>214</v>
      </c>
    </row>
    <row r="48" spans="1:2">
      <c r="A48" t="s">
        <v>341</v>
      </c>
      <c r="B48" t="s">
        <v>209</v>
      </c>
    </row>
    <row r="49" spans="1:2">
      <c r="A49" t="s">
        <v>342</v>
      </c>
      <c r="B49" t="s">
        <v>198</v>
      </c>
    </row>
    <row r="50" spans="1:2">
      <c r="A50" t="s">
        <v>343</v>
      </c>
      <c r="B50" t="s">
        <v>198</v>
      </c>
    </row>
    <row r="51" spans="1:2">
      <c r="A51" t="s">
        <v>344</v>
      </c>
      <c r="B51" t="s">
        <v>198</v>
      </c>
    </row>
    <row r="52" spans="1:2">
      <c r="A52" t="s">
        <v>345</v>
      </c>
      <c r="B52" s="2" t="s">
        <v>198</v>
      </c>
    </row>
    <row r="53" spans="1:2">
      <c r="A53" s="3" t="s">
        <v>274</v>
      </c>
      <c r="B53" s="3" t="s">
        <v>121</v>
      </c>
    </row>
    <row r="54" spans="1:2">
      <c r="A54" s="3" t="s">
        <v>349</v>
      </c>
      <c r="B54" s="3" t="s">
        <v>218</v>
      </c>
    </row>
    <row r="55" spans="1:2">
      <c r="A55" s="3" t="s">
        <v>350</v>
      </c>
      <c r="B55" s="3" t="s">
        <v>108</v>
      </c>
    </row>
    <row r="56" spans="1:2">
      <c r="A56" s="3" t="s">
        <v>352</v>
      </c>
      <c r="B56" s="3" t="s">
        <v>100</v>
      </c>
    </row>
    <row r="57" spans="1:2">
      <c r="A57" s="3" t="s">
        <v>354</v>
      </c>
      <c r="B57" s="3" t="s">
        <v>125</v>
      </c>
    </row>
    <row r="58" spans="1:2">
      <c r="A58" s="3" t="s">
        <v>355</v>
      </c>
      <c r="B58" s="3" t="s">
        <v>80</v>
      </c>
    </row>
    <row r="59" spans="1:2">
      <c r="A59" s="3" t="s">
        <v>294</v>
      </c>
      <c r="B59" s="3" t="s">
        <v>122</v>
      </c>
    </row>
    <row r="60" spans="1:2">
      <c r="A60" s="3" t="s">
        <v>360</v>
      </c>
      <c r="B60" s="3" t="s">
        <v>118</v>
      </c>
    </row>
    <row r="61" spans="1:2">
      <c r="A61" s="3" t="s">
        <v>346</v>
      </c>
      <c r="B61" s="3" t="s">
        <v>100</v>
      </c>
    </row>
    <row r="62" spans="1:2">
      <c r="A62" s="3" t="s">
        <v>362</v>
      </c>
      <c r="B62" s="3" t="s">
        <v>95</v>
      </c>
    </row>
    <row r="63" spans="1:2">
      <c r="A63" s="3" t="s">
        <v>364</v>
      </c>
      <c r="B63" s="3" t="s">
        <v>113</v>
      </c>
    </row>
    <row r="64" spans="1:2">
      <c r="A64" s="3" t="s">
        <v>365</v>
      </c>
      <c r="B64" s="3" t="s">
        <v>107</v>
      </c>
    </row>
    <row r="65" spans="1:2">
      <c r="A65" s="3" t="s">
        <v>366</v>
      </c>
      <c r="B65" s="3" t="s">
        <v>125</v>
      </c>
    </row>
    <row r="66" spans="1:2">
      <c r="A66" s="3" t="s">
        <v>368</v>
      </c>
      <c r="B66" s="3" t="s">
        <v>122</v>
      </c>
    </row>
    <row r="67" spans="1:2">
      <c r="A67" s="3" t="s">
        <v>347</v>
      </c>
      <c r="B67" s="3" t="s">
        <v>128</v>
      </c>
    </row>
    <row r="68" spans="1:2">
      <c r="A68" s="3" t="s">
        <v>370</v>
      </c>
      <c r="B68" s="3" t="s">
        <v>113</v>
      </c>
    </row>
    <row r="69" spans="1:2">
      <c r="A69" s="3" t="s">
        <v>372</v>
      </c>
      <c r="B69" s="3" t="s">
        <v>131</v>
      </c>
    </row>
    <row r="70" spans="1:2">
      <c r="A70" s="3" t="s">
        <v>373</v>
      </c>
      <c r="B70" s="3" t="s">
        <v>209</v>
      </c>
    </row>
    <row r="71" spans="1:2">
      <c r="A71" s="3" t="s">
        <v>374</v>
      </c>
      <c r="B71" s="3" t="s">
        <v>204</v>
      </c>
    </row>
    <row r="72" spans="1:2">
      <c r="A72" s="3" t="s">
        <v>375</v>
      </c>
      <c r="B72" s="3" t="s">
        <v>221</v>
      </c>
    </row>
    <row r="73" spans="1:2">
      <c r="A73" s="3" t="s">
        <v>378</v>
      </c>
      <c r="B73" s="3" t="s">
        <v>127</v>
      </c>
    </row>
    <row r="74" spans="1:2">
      <c r="A74" s="3" t="s">
        <v>379</v>
      </c>
      <c r="B74" s="3" t="s">
        <v>220</v>
      </c>
    </row>
    <row r="75" spans="1:2">
      <c r="A75" s="3" t="s">
        <v>305</v>
      </c>
      <c r="B75" s="3" t="s">
        <v>100</v>
      </c>
    </row>
    <row r="76" spans="1:2">
      <c r="A76" s="3" t="s">
        <v>371</v>
      </c>
      <c r="B76" s="3" t="s">
        <v>100</v>
      </c>
    </row>
    <row r="77" spans="1:2">
      <c r="A77" s="3" t="s">
        <v>382</v>
      </c>
      <c r="B77" s="3" t="s">
        <v>122</v>
      </c>
    </row>
    <row r="78" spans="1:2">
      <c r="A78" s="3" t="s">
        <v>397</v>
      </c>
      <c r="B78" s="3" t="s">
        <v>58</v>
      </c>
    </row>
    <row r="79" spans="1:2">
      <c r="A79" s="3" t="s">
        <v>405</v>
      </c>
      <c r="B79" s="3" t="s">
        <v>66</v>
      </c>
    </row>
    <row r="80" spans="1:2">
      <c r="A80" s="3" t="s">
        <v>80</v>
      </c>
      <c r="B80" s="3" t="s">
        <v>80</v>
      </c>
    </row>
    <row r="81" spans="1:2">
      <c r="A81" s="3" t="s">
        <v>278</v>
      </c>
      <c r="B81" s="3" t="s">
        <v>80</v>
      </c>
    </row>
    <row r="82" spans="1:2">
      <c r="A82" s="3" t="s">
        <v>385</v>
      </c>
      <c r="B82" s="3" t="s">
        <v>113</v>
      </c>
    </row>
    <row r="83" spans="1:2">
      <c r="A83" s="3" t="s">
        <v>386</v>
      </c>
      <c r="B83" s="3" t="s">
        <v>80</v>
      </c>
    </row>
    <row r="84" spans="1:2">
      <c r="A84" s="3" t="s">
        <v>387</v>
      </c>
      <c r="B84" s="3" t="s">
        <v>100</v>
      </c>
    </row>
    <row r="85" spans="1:2">
      <c r="A85" s="3" t="s">
        <v>388</v>
      </c>
      <c r="B85" s="3" t="s">
        <v>121</v>
      </c>
    </row>
    <row r="86" spans="1:2">
      <c r="A86" s="3" t="s">
        <v>389</v>
      </c>
      <c r="B86" s="3" t="s">
        <v>124</v>
      </c>
    </row>
    <row r="87" spans="1:2">
      <c r="A87" s="3" t="s">
        <v>390</v>
      </c>
      <c r="B87" s="3" t="s">
        <v>124</v>
      </c>
    </row>
    <row r="88" spans="1:2">
      <c r="A88" s="3" t="s">
        <v>290</v>
      </c>
      <c r="B88" s="3" t="s">
        <v>85</v>
      </c>
    </row>
    <row r="89" spans="1:2">
      <c r="A89" s="3" t="s">
        <v>393</v>
      </c>
      <c r="B89" s="3" t="s">
        <v>85</v>
      </c>
    </row>
    <row r="90" spans="1:2">
      <c r="A90" s="3" t="s">
        <v>421</v>
      </c>
      <c r="B90" s="3" t="s">
        <v>232</v>
      </c>
    </row>
    <row r="91" spans="1:2">
      <c r="A91" s="3" t="s">
        <v>394</v>
      </c>
      <c r="B91" s="3" t="s">
        <v>85</v>
      </c>
    </row>
    <row r="92" spans="1:2">
      <c r="A92" s="3" t="s">
        <v>321</v>
      </c>
      <c r="B92" s="3" t="s">
        <v>93</v>
      </c>
    </row>
    <row r="93" spans="1:2">
      <c r="A93" s="3" t="s">
        <v>396</v>
      </c>
      <c r="B93" s="3" t="s">
        <v>123</v>
      </c>
    </row>
    <row r="94" spans="1:2">
      <c r="A94" s="3" t="s">
        <v>398</v>
      </c>
      <c r="B94" s="3" t="s">
        <v>94</v>
      </c>
    </row>
    <row r="95" spans="1:2">
      <c r="A95" s="3" t="s">
        <v>401</v>
      </c>
      <c r="B95" s="3" t="s">
        <v>131</v>
      </c>
    </row>
    <row r="96" spans="1:2">
      <c r="A96" t="s">
        <v>304</v>
      </c>
      <c r="B96" t="s">
        <v>93</v>
      </c>
    </row>
    <row r="97" spans="1:2">
      <c r="A97" t="s">
        <v>310</v>
      </c>
      <c r="B97" t="s">
        <v>204</v>
      </c>
    </row>
    <row r="98" spans="1:2">
      <c r="A98" s="1" t="s">
        <v>356</v>
      </c>
      <c r="B98" s="1" t="s">
        <v>94</v>
      </c>
    </row>
    <row r="99" spans="1:2">
      <c r="A99" t="s">
        <v>316</v>
      </c>
      <c r="B99" t="s">
        <v>100</v>
      </c>
    </row>
    <row r="100" spans="1:2">
      <c r="A100" t="s">
        <v>402</v>
      </c>
      <c r="B100" t="s">
        <v>95</v>
      </c>
    </row>
    <row r="101" spans="1:2">
      <c r="A101" t="s">
        <v>403</v>
      </c>
      <c r="B101" t="s">
        <v>225</v>
      </c>
    </row>
    <row r="102" spans="1:2">
      <c r="A102" t="s">
        <v>404</v>
      </c>
      <c r="B102" t="s">
        <v>121</v>
      </c>
    </row>
    <row r="103" spans="1:2">
      <c r="A103" t="s">
        <v>303</v>
      </c>
      <c r="B103" t="s">
        <v>125</v>
      </c>
    </row>
    <row r="104" spans="1:2">
      <c r="A104" t="s">
        <v>446</v>
      </c>
      <c r="B104" t="s">
        <v>106</v>
      </c>
    </row>
    <row r="105" spans="1:2">
      <c r="A105" s="1" t="s">
        <v>361</v>
      </c>
      <c r="B105" s="1" t="s">
        <v>113</v>
      </c>
    </row>
    <row r="106" spans="1:2">
      <c r="A106" t="s">
        <v>406</v>
      </c>
      <c r="B106" t="s">
        <v>100</v>
      </c>
    </row>
    <row r="107" spans="1:2">
      <c r="A107" t="s">
        <v>407</v>
      </c>
      <c r="B107" t="s">
        <v>125</v>
      </c>
    </row>
    <row r="108" spans="1:2">
      <c r="A108" t="s">
        <v>408</v>
      </c>
      <c r="B108" t="s">
        <v>222</v>
      </c>
    </row>
    <row r="109" spans="1:2">
      <c r="A109" t="s">
        <v>328</v>
      </c>
      <c r="B109" t="s">
        <v>100</v>
      </c>
    </row>
    <row r="110" spans="1:2">
      <c r="A110" t="s">
        <v>409</v>
      </c>
      <c r="B110" t="s">
        <v>66</v>
      </c>
    </row>
    <row r="111" spans="1:2">
      <c r="A111" t="s">
        <v>223</v>
      </c>
      <c r="B111" t="s">
        <v>223</v>
      </c>
    </row>
    <row r="112" spans="1:2">
      <c r="A112" t="s">
        <v>292</v>
      </c>
      <c r="B112" t="s">
        <v>107</v>
      </c>
    </row>
    <row r="113" spans="1:2">
      <c r="A113" s="1" t="s">
        <v>351</v>
      </c>
      <c r="B113" s="1" t="s">
        <v>108</v>
      </c>
    </row>
    <row r="114" spans="1:2">
      <c r="A114" t="s">
        <v>330</v>
      </c>
      <c r="B114" t="s">
        <v>108</v>
      </c>
    </row>
    <row r="115" spans="1:2">
      <c r="A115" s="1" t="s">
        <v>357</v>
      </c>
      <c r="B115" s="1" t="s">
        <v>100</v>
      </c>
    </row>
    <row r="116" spans="1:2">
      <c r="A116" s="1" t="s">
        <v>353</v>
      </c>
      <c r="B116" s="1" t="s">
        <v>125</v>
      </c>
    </row>
    <row r="117" spans="1:2">
      <c r="A117" t="s">
        <v>412</v>
      </c>
      <c r="B117" t="s">
        <v>58</v>
      </c>
    </row>
    <row r="118" spans="1:2">
      <c r="A118" t="s">
        <v>413</v>
      </c>
      <c r="B118" t="s">
        <v>224</v>
      </c>
    </row>
    <row r="119" spans="1:2">
      <c r="A119" t="s">
        <v>414</v>
      </c>
      <c r="B119" t="s">
        <v>125</v>
      </c>
    </row>
    <row r="120" spans="1:2">
      <c r="A120" t="s">
        <v>415</v>
      </c>
      <c r="B120" t="s">
        <v>117</v>
      </c>
    </row>
    <row r="121" spans="1:2">
      <c r="A121" t="s">
        <v>315</v>
      </c>
      <c r="B121" t="s">
        <v>125</v>
      </c>
    </row>
    <row r="122" spans="1:2">
      <c r="A122" t="s">
        <v>416</v>
      </c>
      <c r="B122" t="s">
        <v>226</v>
      </c>
    </row>
    <row r="123" spans="1:2">
      <c r="A123" t="s">
        <v>334</v>
      </c>
      <c r="B123" t="s">
        <v>104</v>
      </c>
    </row>
    <row r="124" spans="1:2">
      <c r="A124" t="s">
        <v>417</v>
      </c>
      <c r="B124" t="s">
        <v>227</v>
      </c>
    </row>
    <row r="125" spans="1:2">
      <c r="A125" s="1" t="s">
        <v>391</v>
      </c>
      <c r="B125" s="1" t="s">
        <v>113</v>
      </c>
    </row>
    <row r="126" spans="1:2">
      <c r="A126" s="1" t="s">
        <v>376</v>
      </c>
      <c r="B126" s="1" t="s">
        <v>121</v>
      </c>
    </row>
    <row r="127" spans="1:2">
      <c r="A127" s="1" t="s">
        <v>377</v>
      </c>
      <c r="B127" s="1" t="s">
        <v>121</v>
      </c>
    </row>
    <row r="128" spans="1:2">
      <c r="A128" t="s">
        <v>410</v>
      </c>
      <c r="B128" t="s">
        <v>100</v>
      </c>
    </row>
    <row r="129" spans="1:2">
      <c r="A129" t="s">
        <v>112</v>
      </c>
      <c r="B129" t="s">
        <v>112</v>
      </c>
    </row>
    <row r="130" spans="1:2">
      <c r="A130" s="1" t="s">
        <v>400</v>
      </c>
      <c r="B130" s="1" t="s">
        <v>95</v>
      </c>
    </row>
    <row r="131" spans="1:2">
      <c r="A131" t="s">
        <v>433</v>
      </c>
      <c r="B131" t="s">
        <v>116</v>
      </c>
    </row>
    <row r="132" spans="1:2">
      <c r="A132" t="s">
        <v>311</v>
      </c>
      <c r="B132" t="s">
        <v>204</v>
      </c>
    </row>
    <row r="133" spans="1:2">
      <c r="A133" s="1" t="s">
        <v>395</v>
      </c>
      <c r="B133" s="1" t="s">
        <v>219</v>
      </c>
    </row>
    <row r="134" spans="1:2">
      <c r="A134" t="s">
        <v>424</v>
      </c>
      <c r="B134" t="s">
        <v>47</v>
      </c>
    </row>
    <row r="135" spans="1:2">
      <c r="A135" s="1" t="s">
        <v>358</v>
      </c>
      <c r="B135" s="1" t="s">
        <v>100</v>
      </c>
    </row>
    <row r="136" spans="1:2">
      <c r="A136" t="s">
        <v>425</v>
      </c>
      <c r="B136" t="s">
        <v>47</v>
      </c>
    </row>
    <row r="137" spans="1:2">
      <c r="A137" t="s">
        <v>426</v>
      </c>
      <c r="B137" t="s">
        <v>125</v>
      </c>
    </row>
    <row r="138" spans="1:2">
      <c r="A138" s="1" t="s">
        <v>369</v>
      </c>
      <c r="B138" s="1" t="s">
        <v>94</v>
      </c>
    </row>
    <row r="139" spans="1:2">
      <c r="A139" t="s">
        <v>427</v>
      </c>
      <c r="B139" t="s">
        <v>116</v>
      </c>
    </row>
    <row r="140" spans="1:2">
      <c r="A140" t="s">
        <v>428</v>
      </c>
      <c r="B140" t="s">
        <v>47</v>
      </c>
    </row>
    <row r="141" spans="1:2">
      <c r="A141" t="s">
        <v>429</v>
      </c>
      <c r="B141" t="s">
        <v>47</v>
      </c>
    </row>
    <row r="142" spans="1:2">
      <c r="A142" t="s">
        <v>430</v>
      </c>
      <c r="B142" t="s">
        <v>228</v>
      </c>
    </row>
    <row r="143" spans="1:2">
      <c r="A143" t="s">
        <v>431</v>
      </c>
      <c r="B143" t="s">
        <v>128</v>
      </c>
    </row>
    <row r="144" spans="1:2">
      <c r="A144" t="s">
        <v>432</v>
      </c>
      <c r="B144" t="s">
        <v>116</v>
      </c>
    </row>
    <row r="145" spans="1:2">
      <c r="A145" t="s">
        <v>233</v>
      </c>
      <c r="B145" t="s">
        <v>233</v>
      </c>
    </row>
    <row r="146" spans="1:2">
      <c r="A146" t="s">
        <v>423</v>
      </c>
      <c r="B146" t="s">
        <v>116</v>
      </c>
    </row>
    <row r="147" spans="1:2">
      <c r="A147" t="s">
        <v>121</v>
      </c>
      <c r="B147" t="s">
        <v>121</v>
      </c>
    </row>
    <row r="148" spans="1:2">
      <c r="A148" s="1" t="s">
        <v>359</v>
      </c>
      <c r="B148" s="1" t="s">
        <v>92</v>
      </c>
    </row>
    <row r="149" spans="1:2">
      <c r="A149" t="s">
        <v>451</v>
      </c>
      <c r="B149" t="s">
        <v>23</v>
      </c>
    </row>
    <row r="150" spans="1:2">
      <c r="A150" s="1" t="s">
        <v>381</v>
      </c>
      <c r="B150" s="1" t="s">
        <v>125</v>
      </c>
    </row>
    <row r="151" spans="1:2">
      <c r="A151" t="s">
        <v>411</v>
      </c>
      <c r="B151" t="s">
        <v>58</v>
      </c>
    </row>
    <row r="152" spans="1:2">
      <c r="A152" t="s">
        <v>116</v>
      </c>
      <c r="B152" t="s">
        <v>116</v>
      </c>
    </row>
    <row r="153" spans="1:2">
      <c r="A153" t="s">
        <v>434</v>
      </c>
      <c r="B153" t="s">
        <v>229</v>
      </c>
    </row>
    <row r="154" spans="1:2">
      <c r="A154" t="s">
        <v>435</v>
      </c>
      <c r="B154" t="s">
        <v>116</v>
      </c>
    </row>
    <row r="155" spans="1:2">
      <c r="A155" t="s">
        <v>436</v>
      </c>
      <c r="B155" t="s">
        <v>47</v>
      </c>
    </row>
    <row r="156" spans="1:2">
      <c r="A156" t="s">
        <v>298</v>
      </c>
      <c r="B156" t="s">
        <v>121</v>
      </c>
    </row>
    <row r="157" spans="1:2">
      <c r="A157" t="s">
        <v>437</v>
      </c>
      <c r="B157" t="s">
        <v>231</v>
      </c>
    </row>
    <row r="158" spans="1:2">
      <c r="A158" t="s">
        <v>438</v>
      </c>
      <c r="B158" t="s">
        <v>47</v>
      </c>
    </row>
    <row r="159" spans="1:2">
      <c r="A159" t="s">
        <v>439</v>
      </c>
      <c r="B159" t="s">
        <v>234</v>
      </c>
    </row>
    <row r="160" spans="1:2">
      <c r="A160" t="s">
        <v>440</v>
      </c>
      <c r="B160" t="s">
        <v>47</v>
      </c>
    </row>
    <row r="161" spans="1:2">
      <c r="A161" t="s">
        <v>441</v>
      </c>
      <c r="B161" t="s">
        <v>47</v>
      </c>
    </row>
    <row r="162" spans="1:2">
      <c r="A162" s="1" t="s">
        <v>367</v>
      </c>
      <c r="B162" s="1" t="s">
        <v>125</v>
      </c>
    </row>
    <row r="163" spans="1:2">
      <c r="A163" t="s">
        <v>442</v>
      </c>
      <c r="B163" t="s">
        <v>99</v>
      </c>
    </row>
    <row r="164" spans="1:2">
      <c r="A164" t="s">
        <v>422</v>
      </c>
      <c r="B164" t="s">
        <v>80</v>
      </c>
    </row>
    <row r="165" spans="1:2">
      <c r="A165" t="s">
        <v>444</v>
      </c>
      <c r="B165" t="s">
        <v>240</v>
      </c>
    </row>
    <row r="166" spans="1:2">
      <c r="A166" t="s">
        <v>301</v>
      </c>
      <c r="B166" t="s">
        <v>108</v>
      </c>
    </row>
    <row r="167" spans="1:2">
      <c r="A167" t="s">
        <v>286</v>
      </c>
      <c r="B167" t="s">
        <v>124</v>
      </c>
    </row>
    <row r="168" spans="1:2">
      <c r="A168" t="s">
        <v>445</v>
      </c>
      <c r="B168" t="s">
        <v>106</v>
      </c>
    </row>
    <row r="169" spans="1:2">
      <c r="A169" t="s">
        <v>448</v>
      </c>
      <c r="B169" t="s">
        <v>125</v>
      </c>
    </row>
    <row r="170" spans="1:2">
      <c r="A170" t="s">
        <v>288</v>
      </c>
      <c r="B170" t="s">
        <v>126</v>
      </c>
    </row>
    <row r="171" spans="1:2">
      <c r="A171" t="s">
        <v>450</v>
      </c>
      <c r="B171" t="s">
        <v>239</v>
      </c>
    </row>
    <row r="172" spans="1:2">
      <c r="A172" t="s">
        <v>307</v>
      </c>
      <c r="B172" t="s">
        <v>126</v>
      </c>
    </row>
    <row r="173" spans="1:2">
      <c r="A173" t="s">
        <v>452</v>
      </c>
      <c r="B173" t="s">
        <v>23</v>
      </c>
    </row>
    <row r="174" spans="1:2">
      <c r="A174" t="s">
        <v>453</v>
      </c>
      <c r="B174" t="s">
        <v>104</v>
      </c>
    </row>
    <row r="175" spans="1:2">
      <c r="A175" s="1" t="s">
        <v>383</v>
      </c>
      <c r="B175" s="1" t="s">
        <v>113</v>
      </c>
    </row>
    <row r="176" spans="1:2">
      <c r="A176" t="s">
        <v>454</v>
      </c>
      <c r="B176" t="s">
        <v>237</v>
      </c>
    </row>
    <row r="177" spans="1:2">
      <c r="A177" t="s">
        <v>455</v>
      </c>
      <c r="B177" t="s">
        <v>23</v>
      </c>
    </row>
    <row r="178" spans="1:2">
      <c r="A178" t="s">
        <v>447</v>
      </c>
      <c r="B178" t="s">
        <v>125</v>
      </c>
    </row>
    <row r="179" spans="1:2">
      <c r="A179" t="s">
        <v>456</v>
      </c>
      <c r="B179" t="s">
        <v>241</v>
      </c>
    </row>
    <row r="180" spans="1:2">
      <c r="A180" t="s">
        <v>287</v>
      </c>
      <c r="B180" t="s">
        <v>124</v>
      </c>
    </row>
    <row r="181" spans="1:2">
      <c r="A181" t="s">
        <v>457</v>
      </c>
      <c r="B181" t="s">
        <v>238</v>
      </c>
    </row>
    <row r="182" spans="1:2">
      <c r="A182" t="s">
        <v>458</v>
      </c>
      <c r="B182" t="s">
        <v>242</v>
      </c>
    </row>
    <row r="183" spans="1:2">
      <c r="A183" s="1" t="s">
        <v>348</v>
      </c>
      <c r="B183" s="1" t="s">
        <v>122</v>
      </c>
    </row>
    <row r="184" spans="1:2">
      <c r="A184" t="s">
        <v>325</v>
      </c>
      <c r="B184" t="s">
        <v>122</v>
      </c>
    </row>
    <row r="185" spans="1:2">
      <c r="A185" t="s">
        <v>459</v>
      </c>
      <c r="B185" t="s">
        <v>126</v>
      </c>
    </row>
    <row r="186" spans="1:2">
      <c r="A186" t="s">
        <v>460</v>
      </c>
      <c r="B186" t="s">
        <v>23</v>
      </c>
    </row>
    <row r="187" spans="1:2">
      <c r="A187" t="s">
        <v>443</v>
      </c>
      <c r="B187" t="s">
        <v>23</v>
      </c>
    </row>
    <row r="188" spans="1:2">
      <c r="A188" t="s">
        <v>461</v>
      </c>
      <c r="B188" t="s">
        <v>238</v>
      </c>
    </row>
    <row r="189" spans="1:2">
      <c r="A189" t="s">
        <v>462</v>
      </c>
      <c r="B189" t="s">
        <v>235</v>
      </c>
    </row>
    <row r="190" spans="1:2">
      <c r="A190" t="s">
        <v>463</v>
      </c>
      <c r="B190" t="s">
        <v>130</v>
      </c>
    </row>
    <row r="191" spans="1:2">
      <c r="A191" t="s">
        <v>464</v>
      </c>
      <c r="B191" t="s">
        <v>23</v>
      </c>
    </row>
    <row r="192" spans="1:2">
      <c r="A192" s="1" t="s">
        <v>380</v>
      </c>
      <c r="B192" s="1" t="s">
        <v>94</v>
      </c>
    </row>
    <row r="193" spans="1:2">
      <c r="A193" s="1" t="s">
        <v>392</v>
      </c>
      <c r="B193" s="1" t="s">
        <v>113</v>
      </c>
    </row>
    <row r="194" spans="1:2">
      <c r="A194" t="s">
        <v>129</v>
      </c>
      <c r="B194" t="s">
        <v>129</v>
      </c>
    </row>
    <row r="195" spans="1:2">
      <c r="A195" t="s">
        <v>465</v>
      </c>
      <c r="B195" t="s">
        <v>101</v>
      </c>
    </row>
    <row r="196" spans="1:2">
      <c r="A196" s="1" t="s">
        <v>399</v>
      </c>
      <c r="B196" s="1" t="s">
        <v>211</v>
      </c>
    </row>
    <row r="197" spans="1:2">
      <c r="A197" s="1" t="s">
        <v>384</v>
      </c>
      <c r="B197" s="1" t="s">
        <v>127</v>
      </c>
    </row>
    <row r="198" spans="1:2">
      <c r="A198" t="s">
        <v>466</v>
      </c>
      <c r="B198" t="s">
        <v>235</v>
      </c>
    </row>
    <row r="199" spans="1:2">
      <c r="A199" t="s">
        <v>467</v>
      </c>
      <c r="B199" t="s">
        <v>243</v>
      </c>
    </row>
    <row r="200" spans="1:2">
      <c r="A200" t="s">
        <v>468</v>
      </c>
      <c r="B200" t="s">
        <v>125</v>
      </c>
    </row>
    <row r="201" spans="1:2">
      <c r="A201" t="s">
        <v>469</v>
      </c>
      <c r="B201" t="s">
        <v>236</v>
      </c>
    </row>
    <row r="202" spans="1:2">
      <c r="A202" t="s">
        <v>130</v>
      </c>
      <c r="B202" t="s">
        <v>130</v>
      </c>
    </row>
    <row r="203" spans="1:2">
      <c r="A203" t="s">
        <v>470</v>
      </c>
      <c r="B203" t="s">
        <v>23</v>
      </c>
    </row>
    <row r="204" spans="1:2">
      <c r="A204" s="3" t="s">
        <v>471</v>
      </c>
      <c r="B204" s="3" t="s">
        <v>106</v>
      </c>
    </row>
    <row r="205" spans="1:2">
      <c r="A205" s="3" t="s">
        <v>472</v>
      </c>
      <c r="B205" s="3" t="s">
        <v>223</v>
      </c>
    </row>
    <row r="206" spans="1:2">
      <c r="A206" s="3" t="s">
        <v>473</v>
      </c>
      <c r="B206" s="3" t="s">
        <v>105</v>
      </c>
    </row>
    <row r="207" spans="1:2">
      <c r="A207" s="3" t="s">
        <v>474</v>
      </c>
      <c r="B207" s="3" t="s">
        <v>100</v>
      </c>
    </row>
    <row r="208" spans="1:2">
      <c r="A208" s="3" t="s">
        <v>475</v>
      </c>
      <c r="B208" s="3" t="s">
        <v>130</v>
      </c>
    </row>
    <row r="209" spans="1:2">
      <c r="A209" s="3" t="s">
        <v>476</v>
      </c>
      <c r="B209" s="3" t="s">
        <v>130</v>
      </c>
    </row>
    <row r="210" spans="1:2">
      <c r="A210" s="3" t="s">
        <v>477</v>
      </c>
      <c r="B210" s="3" t="s">
        <v>71</v>
      </c>
    </row>
    <row r="211" spans="1:2">
      <c r="A211" s="3" t="s">
        <v>478</v>
      </c>
      <c r="B211" s="3" t="s">
        <v>244</v>
      </c>
    </row>
    <row r="212" spans="1:2">
      <c r="A212" s="3" t="s">
        <v>479</v>
      </c>
      <c r="B212" s="3" t="s">
        <v>201</v>
      </c>
    </row>
    <row r="213" spans="1:2">
      <c r="A213" s="3" t="s">
        <v>480</v>
      </c>
      <c r="B213" s="3" t="s">
        <v>224</v>
      </c>
    </row>
    <row r="214" spans="1:2">
      <c r="A214" s="3" t="s">
        <v>481</v>
      </c>
      <c r="B214" s="3" t="s">
        <v>130</v>
      </c>
    </row>
    <row r="215" spans="1:2">
      <c r="A215" s="3" t="s">
        <v>482</v>
      </c>
      <c r="B215" s="3" t="s">
        <v>126</v>
      </c>
    </row>
    <row r="216" spans="1:2">
      <c r="A216" s="3" t="s">
        <v>483</v>
      </c>
      <c r="B216" s="3" t="s">
        <v>58</v>
      </c>
    </row>
    <row r="217" spans="1:2">
      <c r="A217" s="3" t="s">
        <v>397</v>
      </c>
      <c r="B217" s="3" t="s">
        <v>130</v>
      </c>
    </row>
    <row r="218" spans="1:2">
      <c r="A218" s="3" t="s">
        <v>484</v>
      </c>
      <c r="B218" s="3" t="s">
        <v>100</v>
      </c>
    </row>
    <row r="219" spans="1:2">
      <c r="A219" s="3" t="s">
        <v>485</v>
      </c>
      <c r="B219" s="3" t="s">
        <v>100</v>
      </c>
    </row>
    <row r="220" spans="1:2">
      <c r="A220" s="3" t="s">
        <v>486</v>
      </c>
      <c r="B220" s="3" t="s">
        <v>116</v>
      </c>
    </row>
    <row r="221" spans="1:2">
      <c r="A221" s="3" t="s">
        <v>487</v>
      </c>
      <c r="B221" s="3" t="s">
        <v>223</v>
      </c>
    </row>
    <row r="222" spans="1:2">
      <c r="A222" s="3" t="s">
        <v>488</v>
      </c>
      <c r="B222" s="3" t="s">
        <v>246</v>
      </c>
    </row>
    <row r="223" spans="1:2">
      <c r="A223" s="3" t="s">
        <v>489</v>
      </c>
      <c r="B223" t="s">
        <v>106</v>
      </c>
    </row>
    <row r="224" spans="1:2">
      <c r="A224" s="3" t="s">
        <v>490</v>
      </c>
      <c r="B224" s="3" t="s">
        <v>100</v>
      </c>
    </row>
    <row r="225" spans="1:2">
      <c r="A225" s="3" t="s">
        <v>491</v>
      </c>
      <c r="B225" s="3" t="s">
        <v>100</v>
      </c>
    </row>
    <row r="226" spans="1:2">
      <c r="A226" s="3" t="s">
        <v>492</v>
      </c>
      <c r="B226" s="3" t="s">
        <v>105</v>
      </c>
    </row>
    <row r="227" spans="1:2">
      <c r="A227" s="3" t="s">
        <v>493</v>
      </c>
      <c r="B227" s="3" t="s">
        <v>121</v>
      </c>
    </row>
    <row r="228" spans="1:2">
      <c r="A228" s="3" t="s">
        <v>494</v>
      </c>
      <c r="B228" s="3" t="s">
        <v>113</v>
      </c>
    </row>
    <row r="229" spans="1:2">
      <c r="A229" t="s">
        <v>495</v>
      </c>
      <c r="B229" t="s">
        <v>79</v>
      </c>
    </row>
    <row r="230" spans="1:2">
      <c r="A230" t="s">
        <v>496</v>
      </c>
      <c r="B230" t="s">
        <v>47</v>
      </c>
    </row>
    <row r="231" spans="1:2">
      <c r="A231" s="3" t="s">
        <v>498</v>
      </c>
      <c r="B231" s="3" t="s">
        <v>100</v>
      </c>
    </row>
    <row r="232" spans="1:2">
      <c r="A232" s="3" t="s">
        <v>499</v>
      </c>
      <c r="B232" s="3" t="s">
        <v>58</v>
      </c>
    </row>
    <row r="233" spans="1:2">
      <c r="A233" s="3" t="s">
        <v>500</v>
      </c>
      <c r="B233" s="3" t="s">
        <v>125</v>
      </c>
    </row>
    <row r="234" spans="1:2">
      <c r="A234" s="3" t="s">
        <v>248</v>
      </c>
      <c r="B234" s="3" t="s">
        <v>248</v>
      </c>
    </row>
    <row r="235" spans="1:2">
      <c r="A235" s="3" t="s">
        <v>501</v>
      </c>
      <c r="B235" s="3" t="s">
        <v>23</v>
      </c>
    </row>
    <row r="236" spans="1:2">
      <c r="A236" s="3" t="s">
        <v>502</v>
      </c>
      <c r="B236" t="s">
        <v>47</v>
      </c>
    </row>
    <row r="237" spans="1:2">
      <c r="A237" s="3" t="s">
        <v>503</v>
      </c>
      <c r="B237" s="3" t="s">
        <v>98</v>
      </c>
    </row>
    <row r="238" spans="1:2">
      <c r="A238" s="3" t="s">
        <v>95</v>
      </c>
      <c r="B238" s="3" t="s">
        <v>95</v>
      </c>
    </row>
    <row r="239" spans="1:2">
      <c r="A239" s="3" t="s">
        <v>504</v>
      </c>
      <c r="B239" s="3" t="s">
        <v>113</v>
      </c>
    </row>
    <row r="240" spans="1:2">
      <c r="A240" s="3" t="s">
        <v>411</v>
      </c>
      <c r="B240" s="3" t="s">
        <v>92</v>
      </c>
    </row>
    <row r="241" spans="1:2">
      <c r="A241" s="3" t="s">
        <v>505</v>
      </c>
      <c r="B241" s="3" t="s">
        <v>116</v>
      </c>
    </row>
    <row r="242" spans="1:2">
      <c r="A242" s="3" t="s">
        <v>506</v>
      </c>
      <c r="B242" s="3" t="s">
        <v>250</v>
      </c>
    </row>
    <row r="243" spans="1:2">
      <c r="A243" s="3" t="s">
        <v>507</v>
      </c>
      <c r="B243" s="3" t="s">
        <v>249</v>
      </c>
    </row>
    <row r="244" spans="1:2">
      <c r="A244" s="3" t="s">
        <v>508</v>
      </c>
      <c r="B244" s="3" t="s">
        <v>251</v>
      </c>
    </row>
    <row r="245" spans="1:2">
      <c r="A245" t="s">
        <v>509</v>
      </c>
      <c r="B245" t="s">
        <v>125</v>
      </c>
    </row>
    <row r="246" spans="1:2">
      <c r="A246" t="s">
        <v>510</v>
      </c>
      <c r="B246" t="s">
        <v>116</v>
      </c>
    </row>
    <row r="247" spans="1:2">
      <c r="A247" t="s">
        <v>511</v>
      </c>
      <c r="B247" t="s">
        <v>99</v>
      </c>
    </row>
    <row r="248" spans="1:2">
      <c r="A248" t="s">
        <v>512</v>
      </c>
      <c r="B248" t="s">
        <v>126</v>
      </c>
    </row>
    <row r="249" spans="1:2">
      <c r="A249" t="s">
        <v>513</v>
      </c>
      <c r="B249" t="s">
        <v>252</v>
      </c>
    </row>
    <row r="250" spans="1:2">
      <c r="A250" t="s">
        <v>514</v>
      </c>
      <c r="B250" t="s">
        <v>116</v>
      </c>
    </row>
    <row r="251" spans="1:2">
      <c r="A251" s="3" t="s">
        <v>515</v>
      </c>
      <c r="B251" s="3" t="s">
        <v>63</v>
      </c>
    </row>
    <row r="252" spans="1:2">
      <c r="A252" s="3" t="s">
        <v>516</v>
      </c>
      <c r="B252" s="3" t="s">
        <v>63</v>
      </c>
    </row>
    <row r="253" spans="1:2">
      <c r="A253" s="3" t="s">
        <v>517</v>
      </c>
      <c r="B253" s="3" t="s">
        <v>254</v>
      </c>
    </row>
    <row r="254" spans="1:2">
      <c r="A254" s="3" t="s">
        <v>518</v>
      </c>
      <c r="B254" s="3" t="s">
        <v>63</v>
      </c>
    </row>
    <row r="255" spans="1:2">
      <c r="A255" s="3" t="s">
        <v>519</v>
      </c>
      <c r="B255" s="3" t="s">
        <v>63</v>
      </c>
    </row>
    <row r="256" spans="1:2">
      <c r="A256" s="3" t="s">
        <v>520</v>
      </c>
      <c r="B256" t="s">
        <v>208</v>
      </c>
    </row>
    <row r="257" spans="1:2">
      <c r="A257" s="3" t="s">
        <v>521</v>
      </c>
      <c r="B257" s="3" t="s">
        <v>255</v>
      </c>
    </row>
    <row r="258" spans="1:2">
      <c r="A258" s="3" t="s">
        <v>522</v>
      </c>
      <c r="B258" s="3" t="s">
        <v>253</v>
      </c>
    </row>
    <row r="259" spans="1:2">
      <c r="A259" s="3" t="s">
        <v>523</v>
      </c>
      <c r="B259" s="3" t="s">
        <v>113</v>
      </c>
    </row>
    <row r="260" spans="1:2">
      <c r="A260" s="3" t="s">
        <v>524</v>
      </c>
      <c r="B260" s="3" t="s">
        <v>99</v>
      </c>
    </row>
    <row r="261" spans="1:2">
      <c r="A261" s="3" t="s">
        <v>525</v>
      </c>
      <c r="B261" s="3" t="s">
        <v>47</v>
      </c>
    </row>
    <row r="262" spans="1:2">
      <c r="A262" s="3" t="s">
        <v>526</v>
      </c>
      <c r="B262" s="3" t="s">
        <v>124</v>
      </c>
    </row>
    <row r="263" spans="1:2">
      <c r="A263" s="3" t="s">
        <v>527</v>
      </c>
      <c r="B263" s="3" t="s">
        <v>38</v>
      </c>
    </row>
    <row r="264" spans="1:2">
      <c r="A264" s="3" t="s">
        <v>528</v>
      </c>
      <c r="B264" s="3" t="s">
        <v>109</v>
      </c>
    </row>
    <row r="265" spans="1:2">
      <c r="A265" s="3" t="s">
        <v>524</v>
      </c>
      <c r="B265" s="3" t="s">
        <v>94</v>
      </c>
    </row>
    <row r="266" spans="1:2">
      <c r="A266" s="3" t="s">
        <v>98</v>
      </c>
      <c r="B266" s="3" t="s">
        <v>98</v>
      </c>
    </row>
  </sheetData>
  <dataValidations count="2">
    <dataValidation allowBlank="1" showInputMessage="1" showErrorMessage="1" promptTitle="注意，此处是初步标签" prompt="注意，此处是初步标签" sqref="A130:B130 A144:B144 A152:B152 A153 A154:B154 A164:B164 B176 A181:B181 A188:B188 A196:B196 A218:B218 A222:B222 A234:B234 A259:B259 A1:A129 A131:A143 A145:A151 A155:A163 A165:A168 A170:A175 A177:A180 A182:A187 A189:A195 A204:A217 A219:A221 A223:A228 A231:A233 A235:A244 A251:A258 A260:A266"/>
    <dataValidation allowBlank="1" showInputMessage="1" showErrorMessage="1" promptTitle="注意，这个是研判后标签" prompt="注意，这个是研判后标签" sqref="B153 B198 B235 B1:B129 B131:B143 B145:B151 B155:B163 B165:B175 B177:B180 B182:B187 B189:B195 B204:B217 B219:B221 B223:B228 B231:B233 B237:B238 B240:B243 B251:B258 B260:B266"/>
  </dataValidations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7" master="" otherUserPermission="visible"/>
  <rangeList sheetStid="3" master="" otherUserPermission="visible"/>
  <rangeList sheetStid="46" master="" otherUserPermission="visible"/>
  <rangeList sheetStid="38" master="" otherUserPermission="visible"/>
  <rangeList sheetStid="42" master="" otherUserPermission="visible"/>
  <rangeList sheetStid="1" master="" otherUserPermission="visible"/>
  <rangeList sheetStid="4" master="" otherUserPermission="visible"/>
  <rangeList sheetStid="9" master="" otherUserPermission="visible"/>
  <rangeList sheetStid="13" master="" otherUserPermission="visible"/>
  <rangeList sheetStid="16" master="" otherUserPermission="visible"/>
  <rangeList sheetStid="18" master="" otherUserPermission="visible"/>
  <rangeList sheetStid="19" master="" otherUserPermission="visible"/>
  <rangeList sheetStid="21" master="" otherUserPermission="visible"/>
  <rangeList sheetStid="22" master="" otherUserPermission="visible"/>
  <rangeList sheetStid="24" master="" otherUserPermission="visible"/>
  <rangeList sheetStid="26" master="" otherUserPermission="visible"/>
  <rangeList sheetStid="29" master="" otherUserPermission="visible"/>
  <rangeList sheetStid="30" master="" otherUserPermission="visible"/>
  <rangeList sheetStid="32" master="" otherUserPermission="visible"/>
  <rangeList sheetStid="36" master="" otherUserPermission="visible"/>
  <rangeList sheetStid="39" master="" otherUserPermission="visible"/>
  <rangeList sheetStid="27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勘误表</vt:lpstr>
      <vt:lpstr>summary(true)</vt:lpstr>
      <vt:lpstr>Count</vt:lpstr>
      <vt:lpstr>summary(full)</vt:lpstr>
      <vt:lpstr>summary(full) (w- topic area)</vt:lpstr>
      <vt:lpstr>CN-GOV</vt:lpstr>
      <vt:lpstr>CN-tech</vt:lpstr>
      <vt:lpstr>CN-worker</vt:lpstr>
      <vt:lpstr>CN-user</vt:lpstr>
      <vt:lpstr>US-gov</vt:lpstr>
      <vt:lpstr>US-tech</vt:lpstr>
      <vt:lpstr>US-worker</vt:lpstr>
      <vt:lpstr>US-user</vt:lpstr>
      <vt:lpstr>EU-Gov</vt:lpstr>
      <vt:lpstr>EU-tech</vt:lpstr>
      <vt:lpstr>EU-worker</vt:lpstr>
      <vt:lpstr>EU-user</vt:lpstr>
      <vt:lpstr>Kenya-Gov</vt:lpstr>
      <vt:lpstr>Kenya-tech</vt:lpstr>
      <vt:lpstr>Kenya-worker</vt:lpstr>
      <vt:lpstr>Kenya-user</vt:lpstr>
      <vt:lpstr>existing-label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小肥猫</dc:creator>
  <cp:lastModifiedBy>小肥猫</cp:lastModifiedBy>
  <dcterms:created xsi:type="dcterms:W3CDTF">2026-04-20T10:48:00Z</dcterms:created>
  <dcterms:modified xsi:type="dcterms:W3CDTF">2026-05-11T11:27:16Z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BC6ABCFEB81849CE992BDFB487499A02_13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